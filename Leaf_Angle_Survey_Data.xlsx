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Thomas79\OneDrive - University of Toledo\Research\Data\Survey\"/>
    </mc:Choice>
  </mc:AlternateContent>
  <xr:revisionPtr revIDLastSave="0" documentId="8_{E63BD965-2C3E-4A3B-B8BF-7DA1ABE45253}" xr6:coauthVersionLast="36" xr6:coauthVersionMax="36" xr10:uidLastSave="{00000000-0000-0000-0000-000000000000}"/>
  <bookViews>
    <workbookView xWindow="0" yWindow="0" windowWidth="28800" windowHeight="12225" xr2:uid="{516FDF50-FB87-422A-94FA-F40EE7760C23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Y5" i="1" l="1"/>
  <c r="AY6" i="1"/>
  <c r="AY7" i="1"/>
  <c r="AY10" i="1"/>
  <c r="AY14" i="1"/>
  <c r="AU17" i="1"/>
  <c r="AT17" i="1"/>
  <c r="AU16" i="1"/>
  <c r="AT16" i="1"/>
  <c r="AY16" i="1" s="1"/>
  <c r="AU15" i="1"/>
  <c r="AT15" i="1"/>
  <c r="AU13" i="1"/>
  <c r="AT13" i="1"/>
  <c r="AU12" i="1"/>
  <c r="AT12" i="1"/>
  <c r="AU11" i="1"/>
  <c r="AT11" i="1"/>
  <c r="AU9" i="1"/>
  <c r="AY9" i="1" s="1"/>
  <c r="AU8" i="1"/>
  <c r="AY8" i="1" s="1"/>
  <c r="AT4" i="1"/>
  <c r="AY4" i="1" s="1"/>
  <c r="AU3" i="1"/>
  <c r="AT3" i="1"/>
  <c r="AU2" i="1"/>
  <c r="AY2" i="1" s="1"/>
  <c r="AM17" i="1"/>
  <c r="AL17" i="1"/>
  <c r="AK17" i="1"/>
  <c r="AM16" i="1"/>
  <c r="AL16" i="1"/>
  <c r="AK16" i="1"/>
  <c r="AM15" i="1"/>
  <c r="AL15" i="1"/>
  <c r="AK15" i="1"/>
  <c r="AM14" i="1"/>
  <c r="AL14" i="1"/>
  <c r="AK14" i="1"/>
  <c r="AM13" i="1"/>
  <c r="AL13" i="1"/>
  <c r="AK13" i="1"/>
  <c r="AM12" i="1"/>
  <c r="AL12" i="1"/>
  <c r="AK12" i="1"/>
  <c r="AM11" i="1"/>
  <c r="AL11" i="1"/>
  <c r="AK11" i="1"/>
  <c r="AM10" i="1"/>
  <c r="AL10" i="1"/>
  <c r="AL9" i="1"/>
  <c r="AK9" i="1"/>
  <c r="AK6" i="1"/>
  <c r="AM5" i="1"/>
  <c r="AL5" i="1"/>
  <c r="AL4" i="1"/>
  <c r="AK4" i="1"/>
  <c r="AL2" i="1"/>
  <c r="AK2" i="1"/>
  <c r="AX95" i="1"/>
  <c r="AW95" i="1"/>
  <c r="AV95" i="1"/>
  <c r="AX94" i="1"/>
  <c r="AW94" i="1"/>
  <c r="AV94" i="1"/>
  <c r="AX93" i="1"/>
  <c r="AW93" i="1"/>
  <c r="AV93" i="1"/>
  <c r="AX92" i="1"/>
  <c r="AW92" i="1"/>
  <c r="AV92" i="1"/>
  <c r="AX91" i="1"/>
  <c r="AW91" i="1"/>
  <c r="AV91" i="1"/>
  <c r="AX90" i="1"/>
  <c r="AW90" i="1"/>
  <c r="AV90" i="1"/>
  <c r="AX89" i="1"/>
  <c r="AW89" i="1"/>
  <c r="AV89" i="1"/>
  <c r="AX88" i="1"/>
  <c r="AW88" i="1"/>
  <c r="AV88" i="1"/>
  <c r="AX87" i="1"/>
  <c r="AW87" i="1"/>
  <c r="AV87" i="1"/>
  <c r="AX86" i="1"/>
  <c r="AW86" i="1"/>
  <c r="AV86" i="1"/>
  <c r="AX85" i="1"/>
  <c r="AW85" i="1"/>
  <c r="AV85" i="1"/>
  <c r="AX84" i="1"/>
  <c r="AW84" i="1"/>
  <c r="AV84" i="1"/>
  <c r="AS95" i="1"/>
  <c r="AR95" i="1"/>
  <c r="AQ95" i="1"/>
  <c r="AS94" i="1"/>
  <c r="AR94" i="1"/>
  <c r="AQ94" i="1"/>
  <c r="AS93" i="1"/>
  <c r="AR93" i="1"/>
  <c r="AQ93" i="1"/>
  <c r="AS92" i="1"/>
  <c r="AR92" i="1"/>
  <c r="AQ92" i="1"/>
  <c r="AS91" i="1"/>
  <c r="AR91" i="1"/>
  <c r="AQ91" i="1"/>
  <c r="AS90" i="1"/>
  <c r="AR90" i="1"/>
  <c r="AQ90" i="1"/>
  <c r="AS89" i="1"/>
  <c r="AR89" i="1"/>
  <c r="AQ89" i="1"/>
  <c r="AS88" i="1"/>
  <c r="AR88" i="1"/>
  <c r="AQ88" i="1"/>
  <c r="AS87" i="1"/>
  <c r="AR87" i="1"/>
  <c r="AQ87" i="1"/>
  <c r="AS86" i="1"/>
  <c r="AR86" i="1"/>
  <c r="AQ86" i="1"/>
  <c r="AS85" i="1"/>
  <c r="AR85" i="1"/>
  <c r="AQ85" i="1"/>
  <c r="AS84" i="1"/>
  <c r="AR84" i="1"/>
  <c r="AQ84" i="1"/>
  <c r="AP95" i="1"/>
  <c r="AO95" i="1"/>
  <c r="AN95" i="1"/>
  <c r="AP94" i="1"/>
  <c r="AO94" i="1"/>
  <c r="AN94" i="1"/>
  <c r="AP93" i="1"/>
  <c r="AO93" i="1"/>
  <c r="AN93" i="1"/>
  <c r="AP92" i="1"/>
  <c r="AO92" i="1"/>
  <c r="AN92" i="1"/>
  <c r="AP91" i="1"/>
  <c r="AO91" i="1"/>
  <c r="AN91" i="1"/>
  <c r="AP90" i="1"/>
  <c r="AO90" i="1"/>
  <c r="AN90" i="1"/>
  <c r="AP89" i="1"/>
  <c r="AO89" i="1"/>
  <c r="AN89" i="1"/>
  <c r="AP88" i="1"/>
  <c r="AO88" i="1"/>
  <c r="AN88" i="1"/>
  <c r="AP87" i="1"/>
  <c r="AO87" i="1"/>
  <c r="AN87" i="1"/>
  <c r="AP86" i="1"/>
  <c r="AO86" i="1"/>
  <c r="AN86" i="1"/>
  <c r="AP85" i="1"/>
  <c r="AO85" i="1"/>
  <c r="AN85" i="1"/>
  <c r="AP84" i="1"/>
  <c r="AO84" i="1"/>
  <c r="AN84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73" i="1"/>
  <c r="AJ73" i="1" s="1"/>
  <c r="AI74" i="1"/>
  <c r="AJ74" i="1" s="1"/>
  <c r="AI75" i="1"/>
  <c r="AJ75" i="1" s="1"/>
  <c r="AI76" i="1"/>
  <c r="AJ76" i="1" s="1"/>
  <c r="AI77" i="1"/>
  <c r="AJ77" i="1" s="1"/>
  <c r="AI78" i="1"/>
  <c r="AJ78" i="1" s="1"/>
  <c r="AI79" i="1"/>
  <c r="AJ79" i="1" s="1"/>
  <c r="AI80" i="1"/>
  <c r="AJ80" i="1" s="1"/>
  <c r="AI81" i="1"/>
  <c r="AJ81" i="1" s="1"/>
  <c r="AI82" i="1"/>
  <c r="AJ82" i="1" s="1"/>
  <c r="AI83" i="1"/>
  <c r="AJ83" i="1" s="1"/>
  <c r="AI72" i="1"/>
  <c r="AJ72" i="1" s="1"/>
  <c r="AI129" i="1"/>
  <c r="AJ129" i="1" s="1"/>
  <c r="AI130" i="1"/>
  <c r="AJ130" i="1" s="1"/>
  <c r="AI131" i="1"/>
  <c r="AJ131" i="1" s="1"/>
  <c r="AI132" i="1"/>
  <c r="AJ132" i="1" s="1"/>
  <c r="AI133" i="1"/>
  <c r="AJ133" i="1" s="1"/>
  <c r="AI134" i="1"/>
  <c r="AJ134" i="1" s="1"/>
  <c r="AI135" i="1"/>
  <c r="AJ135" i="1" s="1"/>
  <c r="AI136" i="1"/>
  <c r="AJ136" i="1" s="1"/>
  <c r="AI137" i="1"/>
  <c r="AJ137" i="1" s="1"/>
  <c r="AI138" i="1"/>
  <c r="AJ138" i="1" s="1"/>
  <c r="AI139" i="1"/>
  <c r="AJ139" i="1" s="1"/>
  <c r="AI140" i="1"/>
  <c r="AJ140" i="1" s="1"/>
  <c r="AI141" i="1"/>
  <c r="AJ141" i="1" s="1"/>
  <c r="AI142" i="1"/>
  <c r="AJ142" i="1" s="1"/>
  <c r="AI143" i="1"/>
  <c r="AJ143" i="1" s="1"/>
  <c r="AI144" i="1"/>
  <c r="AJ144" i="1" s="1"/>
  <c r="AI145" i="1"/>
  <c r="AJ145" i="1" s="1"/>
  <c r="AI146" i="1"/>
  <c r="AJ146" i="1" s="1"/>
  <c r="AI148" i="1"/>
  <c r="AJ148" i="1" s="1"/>
  <c r="AI150" i="1"/>
  <c r="AJ150" i="1" s="1"/>
  <c r="AI151" i="1"/>
  <c r="AJ151" i="1" s="1"/>
  <c r="AI128" i="1"/>
  <c r="AJ128" i="1" s="1"/>
  <c r="AJ17" i="1"/>
  <c r="AJ16" i="1"/>
  <c r="AJ15" i="1"/>
  <c r="AJ13" i="1"/>
  <c r="AJ12" i="1"/>
  <c r="AJ11" i="1"/>
  <c r="AJ10" i="1"/>
  <c r="AJ9" i="1"/>
  <c r="AJ8" i="1"/>
  <c r="AJ7" i="1"/>
  <c r="AJ6" i="1"/>
  <c r="AJ5" i="1"/>
  <c r="AJ4" i="1"/>
  <c r="AJ3" i="1"/>
  <c r="AJ2" i="1"/>
  <c r="AH95" i="1"/>
  <c r="AG95" i="1"/>
  <c r="AF95" i="1"/>
  <c r="AH94" i="1"/>
  <c r="AG94" i="1"/>
  <c r="AF94" i="1"/>
  <c r="AH93" i="1"/>
  <c r="AG93" i="1"/>
  <c r="AF93" i="1"/>
  <c r="AH92" i="1"/>
  <c r="AG92" i="1"/>
  <c r="AF92" i="1"/>
  <c r="AH91" i="1"/>
  <c r="AG91" i="1"/>
  <c r="AF91" i="1"/>
  <c r="AH90" i="1"/>
  <c r="AG90" i="1"/>
  <c r="AF90" i="1"/>
  <c r="AH89" i="1"/>
  <c r="AG89" i="1"/>
  <c r="AF89" i="1"/>
  <c r="AH88" i="1"/>
  <c r="AG88" i="1"/>
  <c r="AF88" i="1"/>
  <c r="AH87" i="1"/>
  <c r="AG87" i="1"/>
  <c r="AF87" i="1"/>
  <c r="AH86" i="1"/>
  <c r="AG86" i="1"/>
  <c r="AF86" i="1"/>
  <c r="AH85" i="1"/>
  <c r="AG85" i="1"/>
  <c r="AF85" i="1"/>
  <c r="AH84" i="1"/>
  <c r="AG84" i="1"/>
  <c r="AF84" i="1"/>
  <c r="AY17" i="1" l="1"/>
  <c r="AY13" i="1"/>
  <c r="AY87" i="1"/>
  <c r="AY91" i="1"/>
  <c r="AY95" i="1"/>
  <c r="AY3" i="1"/>
  <c r="AY15" i="1"/>
  <c r="AY86" i="1"/>
  <c r="AY90" i="1"/>
  <c r="AY94" i="1"/>
  <c r="AY11" i="1"/>
  <c r="AY93" i="1"/>
  <c r="AY12" i="1"/>
  <c r="AY85" i="1"/>
  <c r="AY89" i="1"/>
  <c r="AY84" i="1"/>
  <c r="AY88" i="1"/>
  <c r="AY92" i="1"/>
</calcChain>
</file>

<file path=xl/sharedStrings.xml><?xml version="1.0" encoding="utf-8"?>
<sst xmlns="http://schemas.openxmlformats.org/spreadsheetml/2006/main" count="394" uniqueCount="206">
  <si>
    <t>Plant ID</t>
  </si>
  <si>
    <t>B0101</t>
  </si>
  <si>
    <t>B0102</t>
  </si>
  <si>
    <t>B0103</t>
  </si>
  <si>
    <t>B0104</t>
  </si>
  <si>
    <t>B0201</t>
  </si>
  <si>
    <t>B0202</t>
  </si>
  <si>
    <t>B0203</t>
  </si>
  <si>
    <t>B0204</t>
  </si>
  <si>
    <t>B0301</t>
  </si>
  <si>
    <t>B0302</t>
  </si>
  <si>
    <t>B0303</t>
  </si>
  <si>
    <t>B0304</t>
  </si>
  <si>
    <t>B0401</t>
  </si>
  <si>
    <t>B0402</t>
  </si>
  <si>
    <t>B0403</t>
  </si>
  <si>
    <t>B0404</t>
  </si>
  <si>
    <t>Sl0101</t>
  </si>
  <si>
    <t>Sl0103</t>
  </si>
  <si>
    <t>Sl0104</t>
  </si>
  <si>
    <t>Sl0201</t>
  </si>
  <si>
    <t>Sl0202</t>
  </si>
  <si>
    <t>Sl0203</t>
  </si>
  <si>
    <t>Sl0204</t>
  </si>
  <si>
    <t>Sl0301</t>
  </si>
  <si>
    <t>Sl0302</t>
  </si>
  <si>
    <t>Sl0304</t>
  </si>
  <si>
    <t>Sl0401</t>
  </si>
  <si>
    <t>Sl0402</t>
  </si>
  <si>
    <t>Sl0403</t>
  </si>
  <si>
    <t>Sl0404</t>
  </si>
  <si>
    <t>E0101</t>
  </si>
  <si>
    <t>E0102</t>
  </si>
  <si>
    <t>E0103</t>
  </si>
  <si>
    <t>E0104</t>
  </si>
  <si>
    <t>E0201</t>
  </si>
  <si>
    <t>E0202</t>
  </si>
  <si>
    <t>E0203</t>
  </si>
  <si>
    <t>E0204</t>
  </si>
  <si>
    <t>E0301</t>
  </si>
  <si>
    <t>E0302</t>
  </si>
  <si>
    <t>E0303</t>
  </si>
  <si>
    <t>E0304</t>
  </si>
  <si>
    <t>E0401</t>
  </si>
  <si>
    <t>E0402</t>
  </si>
  <si>
    <t>E0403</t>
  </si>
  <si>
    <t>E0404</t>
  </si>
  <si>
    <t>Pp0101</t>
  </si>
  <si>
    <t>Pp0102</t>
  </si>
  <si>
    <t>Pp0103</t>
  </si>
  <si>
    <t>Pp0104</t>
  </si>
  <si>
    <t>Pp0105</t>
  </si>
  <si>
    <t>Pp0106</t>
  </si>
  <si>
    <t>Pp0201</t>
  </si>
  <si>
    <t>Pp0202</t>
  </si>
  <si>
    <t>Pp0203</t>
  </si>
  <si>
    <t>Pp0204</t>
  </si>
  <si>
    <t>Pp0205</t>
  </si>
  <si>
    <t>Pp0206</t>
  </si>
  <si>
    <t>Pp0301</t>
  </si>
  <si>
    <t>Pp0302</t>
  </si>
  <si>
    <t>Pp0303</t>
  </si>
  <si>
    <t>Pp0304</t>
  </si>
  <si>
    <t>Pp0305</t>
  </si>
  <si>
    <t>Pp0306</t>
  </si>
  <si>
    <t>Pp0401</t>
  </si>
  <si>
    <t>Pp0402</t>
  </si>
  <si>
    <t>Pp0403</t>
  </si>
  <si>
    <t>Pp0404</t>
  </si>
  <si>
    <t>Pp0405</t>
  </si>
  <si>
    <t>Pp0406</t>
  </si>
  <si>
    <t>HIB0101</t>
  </si>
  <si>
    <t>HIB0102</t>
  </si>
  <si>
    <t>HIB0103</t>
  </si>
  <si>
    <t>HIB0201</t>
  </si>
  <si>
    <t>HIB0202</t>
  </si>
  <si>
    <t>HIB0203</t>
  </si>
  <si>
    <t>HIB0301</t>
  </si>
  <si>
    <t>HIB0302</t>
  </si>
  <si>
    <t>HIB0303</t>
  </si>
  <si>
    <t>HIB0401</t>
  </si>
  <si>
    <t>HIB0402</t>
  </si>
  <si>
    <t>HIB0403</t>
  </si>
  <si>
    <t>Mint0101</t>
  </si>
  <si>
    <t>Mint0102</t>
  </si>
  <si>
    <t>Mint0103</t>
  </si>
  <si>
    <t>Mint0201</t>
  </si>
  <si>
    <t>Mint0202</t>
  </si>
  <si>
    <t>Mint0203</t>
  </si>
  <si>
    <t>Mint0301</t>
  </si>
  <si>
    <t>Mint0302</t>
  </si>
  <si>
    <t>Mint0303</t>
  </si>
  <si>
    <t>Mint0401</t>
  </si>
  <si>
    <t>Mint0402</t>
  </si>
  <si>
    <t>Mint0403</t>
  </si>
  <si>
    <t>Nast0101</t>
  </si>
  <si>
    <t>Nast0102</t>
  </si>
  <si>
    <t>Nast0103</t>
  </si>
  <si>
    <t>Nast0201</t>
  </si>
  <si>
    <t>Nast0202</t>
  </si>
  <si>
    <t>Nast0203</t>
  </si>
  <si>
    <t>Nast0301</t>
  </si>
  <si>
    <t>Nast0302</t>
  </si>
  <si>
    <t>Nast0303</t>
  </si>
  <si>
    <t>Nast0401</t>
  </si>
  <si>
    <t>Nast0402</t>
  </si>
  <si>
    <t>Nast0403</t>
  </si>
  <si>
    <t>BP0101</t>
  </si>
  <si>
    <t>BP0102</t>
  </si>
  <si>
    <t>BP0103</t>
  </si>
  <si>
    <t>BP0104</t>
  </si>
  <si>
    <t>BP0105</t>
  </si>
  <si>
    <t>BP0201</t>
  </si>
  <si>
    <t>BP0202</t>
  </si>
  <si>
    <t>BP0203</t>
  </si>
  <si>
    <t>BP0204</t>
  </si>
  <si>
    <t>BP0205</t>
  </si>
  <si>
    <t>BP0301</t>
  </si>
  <si>
    <t>BP0302</t>
  </si>
  <si>
    <t>BP0303</t>
  </si>
  <si>
    <t>BP0304</t>
  </si>
  <si>
    <t>BP0305</t>
  </si>
  <si>
    <t>BP0401</t>
  </si>
  <si>
    <t>BP0402</t>
  </si>
  <si>
    <t>BP0403</t>
  </si>
  <si>
    <t>BP0404</t>
  </si>
  <si>
    <t>BP0405</t>
  </si>
  <si>
    <t>ST0101</t>
  </si>
  <si>
    <t>ST0102</t>
  </si>
  <si>
    <t>ST0103</t>
  </si>
  <si>
    <t>ST0104</t>
  </si>
  <si>
    <t>ST0105</t>
  </si>
  <si>
    <t>ST0106</t>
  </si>
  <si>
    <t>ST0201</t>
  </si>
  <si>
    <t>ST0202</t>
  </si>
  <si>
    <t>ST0203</t>
  </si>
  <si>
    <t>ST0204</t>
  </si>
  <si>
    <t>ST0205</t>
  </si>
  <si>
    <t>ST0206</t>
  </si>
  <si>
    <t>ST0301</t>
  </si>
  <si>
    <t>ST0302</t>
  </si>
  <si>
    <t>ST0303</t>
  </si>
  <si>
    <t>ST0304</t>
  </si>
  <si>
    <t>ST0305</t>
  </si>
  <si>
    <t>ST0306</t>
  </si>
  <si>
    <t>ST0401</t>
  </si>
  <si>
    <t>ST0402</t>
  </si>
  <si>
    <t>ST0403</t>
  </si>
  <si>
    <t>ST0404</t>
  </si>
  <si>
    <t>ST0405</t>
  </si>
  <si>
    <t>ST0406</t>
  </si>
  <si>
    <t>Y0101</t>
  </si>
  <si>
    <t>Y0102</t>
  </si>
  <si>
    <t>Y0103</t>
  </si>
  <si>
    <t>Y0104</t>
  </si>
  <si>
    <t>Y0105</t>
  </si>
  <si>
    <t>Y0201</t>
  </si>
  <si>
    <t>Y0202</t>
  </si>
  <si>
    <t>Y0203</t>
  </si>
  <si>
    <t>Y0204</t>
  </si>
  <si>
    <t>Y0205</t>
  </si>
  <si>
    <t>Y0301</t>
  </si>
  <si>
    <t>Y0302</t>
  </si>
  <si>
    <t>Y0303</t>
  </si>
  <si>
    <t>Y0304</t>
  </si>
  <si>
    <t>Y0305</t>
  </si>
  <si>
    <t>Y0401</t>
  </si>
  <si>
    <t>Y0402</t>
  </si>
  <si>
    <t>Y0403</t>
  </si>
  <si>
    <t>Y0404</t>
  </si>
  <si>
    <t>Y0405</t>
  </si>
  <si>
    <t>Temp</t>
  </si>
  <si>
    <t>CO2</t>
  </si>
  <si>
    <t>Day 0</t>
  </si>
  <si>
    <t>Day 1</t>
  </si>
  <si>
    <t>Day 2</t>
  </si>
  <si>
    <t xml:space="preserve">Day 2 </t>
  </si>
  <si>
    <t>Day 3</t>
  </si>
  <si>
    <t>Day 4</t>
  </si>
  <si>
    <t>Day 5</t>
  </si>
  <si>
    <t>Day 6</t>
  </si>
  <si>
    <t>Day 7</t>
  </si>
  <si>
    <t>Day 8</t>
  </si>
  <si>
    <t>Day 9</t>
  </si>
  <si>
    <t>Final_adaxial_AVG</t>
  </si>
  <si>
    <t>LCI_4</t>
  </si>
  <si>
    <t>LCI_5</t>
  </si>
  <si>
    <t>LCI_6</t>
  </si>
  <si>
    <t>LCI_9</t>
  </si>
  <si>
    <t>LCI_7</t>
  </si>
  <si>
    <t>Final_LCI_Avg</t>
  </si>
  <si>
    <t>Final_Abaxial_AVG</t>
  </si>
  <si>
    <t>Fresh_Mass</t>
  </si>
  <si>
    <t>Leaf_Disc</t>
  </si>
  <si>
    <t>DryMass</t>
  </si>
  <si>
    <t>Plant</t>
  </si>
  <si>
    <t>P.vulgaris</t>
  </si>
  <si>
    <t>S.lycopersicum</t>
  </si>
  <si>
    <t>S.melongena</t>
  </si>
  <si>
    <t>P.pruinosa</t>
  </si>
  <si>
    <t>H.rosa-sinensis</t>
  </si>
  <si>
    <t>M.xpiperita</t>
  </si>
  <si>
    <t>T.majus</t>
  </si>
  <si>
    <t>C.annuum</t>
  </si>
  <si>
    <t>S.tuberosum</t>
  </si>
  <si>
    <t>A.millefolium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</si>
</sst>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1" xfId="0" applyNumberFormat="1" applyBorder="1"/>
    <xf numFmtId="0" fontId="0" fillId="0" borderId="0" xfId="0" applyBorder="1"/>
    <xf numFmtId="0" fontId="0" fillId="0" borderId="1" xfId="0" applyBorder="1" applyAlignment="1"/>
    <xf numFmtId="2" fontId="0" fillId="0" borderId="1" xfId="0" applyNumberFormat="1" applyBorder="1"/>
    <xf numFmtId="2" fontId="0" fillId="0" borderId="1" xfId="0" applyNumberFormat="1" applyBorder="1" applyAlignment="1"/>
    <xf numFmtId="0" fontId="0" fillId="0" borderId="0" xfId="0" applyBorder="1" applyAlignment="1"/>
    <xf numFmtId="2" fontId="1" fillId="0" borderId="1" xfId="0" applyNumberFormat="1" applyFont="1" applyFill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B478A-D6F4-4C2C-BDCA-D975DB2BBFCE}">
  <dimension ref="A1:BD205"/>
  <sheetViews>
    <sheetView tabSelected="1" zoomScale="115" zoomScaleNormal="115" workbookViewId="0">
      <pane ySplit="1" topLeftCell="A143" activePane="bottomLeft" state="frozen"/>
      <selection pane="bottomLeft" activeCell="G172" sqref="G172"/>
    </sheetView>
  </sheetViews>
  <sheetFormatPr defaultRowHeight="15" x14ac:dyDescent="0.25"/>
  <cols>
    <col min="35" max="35" width="13" customWidth="1"/>
    <col min="36" max="36" width="13.42578125" customWidth="1"/>
  </cols>
  <sheetData>
    <row r="1" spans="1:54" x14ac:dyDescent="0.25">
      <c r="A1" s="1" t="s">
        <v>0</v>
      </c>
      <c r="B1" s="1" t="s">
        <v>195</v>
      </c>
      <c r="C1" s="1" t="s">
        <v>171</v>
      </c>
      <c r="D1" s="1" t="s">
        <v>172</v>
      </c>
      <c r="E1" s="1" t="s">
        <v>173</v>
      </c>
      <c r="F1" s="1" t="s">
        <v>173</v>
      </c>
      <c r="G1" s="1" t="s">
        <v>173</v>
      </c>
      <c r="H1" s="1" t="s">
        <v>174</v>
      </c>
      <c r="I1" s="1" t="s">
        <v>174</v>
      </c>
      <c r="J1" s="1" t="s">
        <v>174</v>
      </c>
      <c r="K1" s="1" t="s">
        <v>175</v>
      </c>
      <c r="L1" s="1" t="s">
        <v>176</v>
      </c>
      <c r="M1" s="1" t="s">
        <v>175</v>
      </c>
      <c r="N1" s="1" t="s">
        <v>177</v>
      </c>
      <c r="O1" s="1" t="s">
        <v>177</v>
      </c>
      <c r="P1" s="1" t="s">
        <v>177</v>
      </c>
      <c r="Q1" s="1" t="s">
        <v>178</v>
      </c>
      <c r="R1" s="1" t="s">
        <v>178</v>
      </c>
      <c r="S1" s="1" t="s">
        <v>178</v>
      </c>
      <c r="T1" s="1" t="s">
        <v>179</v>
      </c>
      <c r="U1" s="1" t="s">
        <v>179</v>
      </c>
      <c r="V1" s="1" t="s">
        <v>179</v>
      </c>
      <c r="W1" s="1" t="s">
        <v>180</v>
      </c>
      <c r="X1" s="1" t="s">
        <v>180</v>
      </c>
      <c r="Y1" s="1" t="s">
        <v>180</v>
      </c>
      <c r="Z1" s="1" t="s">
        <v>181</v>
      </c>
      <c r="AA1" s="1" t="s">
        <v>181</v>
      </c>
      <c r="AB1" s="1" t="s">
        <v>181</v>
      </c>
      <c r="AC1" s="1" t="s">
        <v>182</v>
      </c>
      <c r="AD1" s="1" t="s">
        <v>182</v>
      </c>
      <c r="AE1" s="1" t="s">
        <v>182</v>
      </c>
      <c r="AF1" s="1" t="s">
        <v>183</v>
      </c>
      <c r="AG1" s="1" t="s">
        <v>183</v>
      </c>
      <c r="AH1" s="1" t="s">
        <v>183</v>
      </c>
      <c r="AI1" s="1" t="s">
        <v>184</v>
      </c>
      <c r="AJ1" s="1" t="s">
        <v>191</v>
      </c>
      <c r="AK1" s="1" t="s">
        <v>185</v>
      </c>
      <c r="AL1" s="1" t="s">
        <v>185</v>
      </c>
      <c r="AM1" s="1" t="s">
        <v>185</v>
      </c>
      <c r="AN1" s="1" t="s">
        <v>186</v>
      </c>
      <c r="AO1" s="1" t="s">
        <v>186</v>
      </c>
      <c r="AP1" s="1" t="s">
        <v>186</v>
      </c>
      <c r="AQ1" s="1" t="s">
        <v>187</v>
      </c>
      <c r="AR1" s="1" t="s">
        <v>187</v>
      </c>
      <c r="AS1" s="1" t="s">
        <v>187</v>
      </c>
      <c r="AT1" s="1" t="s">
        <v>189</v>
      </c>
      <c r="AU1" s="1" t="s">
        <v>189</v>
      </c>
      <c r="AV1" s="1" t="s">
        <v>188</v>
      </c>
      <c r="AW1" s="1" t="s">
        <v>188</v>
      </c>
      <c r="AX1" s="1" t="s">
        <v>188</v>
      </c>
      <c r="AY1" s="1" t="s">
        <v>190</v>
      </c>
      <c r="AZ1" s="1" t="s">
        <v>192</v>
      </c>
      <c r="BA1" s="1" t="s">
        <v>194</v>
      </c>
      <c r="BB1" s="1" t="s">
        <v>193</v>
      </c>
    </row>
    <row r="2" spans="1:54" x14ac:dyDescent="0.25">
      <c r="A2" s="1" t="s">
        <v>1</v>
      </c>
      <c r="B2" s="1" t="s">
        <v>196</v>
      </c>
      <c r="C2" s="1">
        <v>29</v>
      </c>
      <c r="D2" s="1">
        <v>400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>
        <v>41</v>
      </c>
      <c r="R2" s="1">
        <v>49</v>
      </c>
      <c r="S2" s="1">
        <v>54</v>
      </c>
      <c r="T2" s="1"/>
      <c r="U2" s="1"/>
      <c r="V2" s="1"/>
      <c r="W2" s="1"/>
      <c r="X2" s="1"/>
      <c r="Y2" s="1"/>
      <c r="Z2" s="1">
        <v>45</v>
      </c>
      <c r="AA2" s="1">
        <v>37</v>
      </c>
      <c r="AB2" s="1">
        <v>32</v>
      </c>
      <c r="AC2" s="1"/>
      <c r="AD2" s="1"/>
      <c r="AE2" s="1"/>
      <c r="AF2" s="1"/>
      <c r="AG2" s="1"/>
      <c r="AH2" s="1"/>
      <c r="AI2" s="8">
        <v>38</v>
      </c>
      <c r="AJ2" s="5">
        <f>90-AI2</f>
        <v>52</v>
      </c>
      <c r="AK2" s="5">
        <f>3/4</f>
        <v>0.75</v>
      </c>
      <c r="AL2" s="5">
        <f>4/4.45</f>
        <v>0.898876404494382</v>
      </c>
      <c r="AM2" s="5">
        <v>1</v>
      </c>
      <c r="AN2" s="5"/>
      <c r="AO2" s="5"/>
      <c r="AP2" s="5"/>
      <c r="AQ2" s="5"/>
      <c r="AR2" s="5"/>
      <c r="AS2" s="5"/>
      <c r="AT2" s="5">
        <v>1</v>
      </c>
      <c r="AU2" s="5">
        <f>4/5</f>
        <v>0.8</v>
      </c>
      <c r="AV2" s="5"/>
      <c r="AW2" s="5"/>
      <c r="AX2" s="5"/>
      <c r="AY2" s="5">
        <f>AVERAGE(AT2:AU2)</f>
        <v>0.9</v>
      </c>
      <c r="AZ2" s="5">
        <v>24.35</v>
      </c>
      <c r="BA2" s="5">
        <v>3.02</v>
      </c>
      <c r="BB2" s="1">
        <v>5.4999999999999997E-3</v>
      </c>
    </row>
    <row r="3" spans="1:54" x14ac:dyDescent="0.25">
      <c r="A3" s="1" t="s">
        <v>2</v>
      </c>
      <c r="B3" s="1" t="s">
        <v>196</v>
      </c>
      <c r="C3" s="1">
        <v>29</v>
      </c>
      <c r="D3" s="1">
        <v>400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>
        <v>41</v>
      </c>
      <c r="R3" s="1">
        <v>31</v>
      </c>
      <c r="S3" s="1">
        <v>41</v>
      </c>
      <c r="T3" s="1"/>
      <c r="U3" s="1"/>
      <c r="V3" s="1"/>
      <c r="W3" s="1"/>
      <c r="X3" s="1"/>
      <c r="Y3" s="1"/>
      <c r="Z3" s="1">
        <v>33</v>
      </c>
      <c r="AA3" s="1">
        <v>34</v>
      </c>
      <c r="AB3" s="1">
        <v>34</v>
      </c>
      <c r="AC3" s="1"/>
      <c r="AD3" s="1"/>
      <c r="AE3" s="1"/>
      <c r="AF3" s="1"/>
      <c r="AG3" s="1"/>
      <c r="AH3" s="1"/>
      <c r="AI3" s="8">
        <v>33.666666666666664</v>
      </c>
      <c r="AJ3" s="5">
        <f t="shared" ref="AJ3:AJ17" si="0">90-AI3</f>
        <v>56.333333333333336</v>
      </c>
      <c r="AK3" s="5">
        <v>1</v>
      </c>
      <c r="AL3" s="5">
        <v>1</v>
      </c>
      <c r="AM3" s="5">
        <v>1</v>
      </c>
      <c r="AN3" s="5"/>
      <c r="AO3" s="5"/>
      <c r="AP3" s="5"/>
      <c r="AQ3" s="5"/>
      <c r="AR3" s="5"/>
      <c r="AS3" s="5"/>
      <c r="AT3" s="5">
        <f>2.5/3.1</f>
        <v>0.80645161290322576</v>
      </c>
      <c r="AU3" s="5">
        <f>3.2/3.7</f>
        <v>0.86486486486486491</v>
      </c>
      <c r="AV3" s="5"/>
      <c r="AW3" s="5"/>
      <c r="AX3" s="5"/>
      <c r="AY3" s="5">
        <f t="shared" ref="AY3:AY17" si="1">AVERAGE(AT3:AU3)</f>
        <v>0.83565823888404533</v>
      </c>
      <c r="AZ3" s="5">
        <v>26.76</v>
      </c>
      <c r="BA3" s="5">
        <v>3.27</v>
      </c>
      <c r="BB3" s="1">
        <v>6.7999999999999996E-3</v>
      </c>
    </row>
    <row r="4" spans="1:54" x14ac:dyDescent="0.25">
      <c r="A4" s="1" t="s">
        <v>3</v>
      </c>
      <c r="B4" s="1" t="s">
        <v>196</v>
      </c>
      <c r="C4" s="1">
        <v>29</v>
      </c>
      <c r="D4" s="1">
        <v>400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>
        <v>43</v>
      </c>
      <c r="R4" s="1">
        <v>35</v>
      </c>
      <c r="S4" s="1">
        <v>32</v>
      </c>
      <c r="T4" s="1"/>
      <c r="U4" s="1"/>
      <c r="V4" s="1"/>
      <c r="W4" s="1"/>
      <c r="X4" s="1"/>
      <c r="Y4" s="1"/>
      <c r="Z4" s="1">
        <v>59</v>
      </c>
      <c r="AA4" s="1">
        <v>31</v>
      </c>
      <c r="AB4" s="1">
        <v>30</v>
      </c>
      <c r="AC4" s="1"/>
      <c r="AD4" s="1"/>
      <c r="AE4" s="1"/>
      <c r="AF4" s="1"/>
      <c r="AG4" s="1"/>
      <c r="AH4" s="1"/>
      <c r="AI4" s="8">
        <v>40</v>
      </c>
      <c r="AJ4" s="5">
        <f t="shared" si="0"/>
        <v>50</v>
      </c>
      <c r="AK4" s="5">
        <f>3.3/3.9</f>
        <v>0.84615384615384615</v>
      </c>
      <c r="AL4" s="5">
        <f>4/4.6</f>
        <v>0.86956521739130443</v>
      </c>
      <c r="AM4" s="5">
        <v>1</v>
      </c>
      <c r="AN4" s="5"/>
      <c r="AO4" s="5"/>
      <c r="AP4" s="5"/>
      <c r="AQ4" s="5"/>
      <c r="AR4" s="5"/>
      <c r="AS4" s="5"/>
      <c r="AT4" s="5">
        <f>3.5/4.1</f>
        <v>0.85365853658536595</v>
      </c>
      <c r="AU4" s="5">
        <v>1</v>
      </c>
      <c r="AV4" s="5"/>
      <c r="AW4" s="5"/>
      <c r="AX4" s="5"/>
      <c r="AY4" s="5">
        <f t="shared" si="1"/>
        <v>0.92682926829268297</v>
      </c>
      <c r="AZ4" s="5">
        <v>35.78</v>
      </c>
      <c r="BA4" s="5">
        <v>4.55</v>
      </c>
      <c r="BB4" s="1">
        <v>6.1999999999999998E-3</v>
      </c>
    </row>
    <row r="5" spans="1:54" x14ac:dyDescent="0.25">
      <c r="A5" s="1" t="s">
        <v>4</v>
      </c>
      <c r="B5" s="1" t="s">
        <v>196</v>
      </c>
      <c r="C5" s="1">
        <v>29</v>
      </c>
      <c r="D5" s="1">
        <v>400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>
        <v>50</v>
      </c>
      <c r="R5" s="1">
        <v>45</v>
      </c>
      <c r="S5" s="1">
        <v>46</v>
      </c>
      <c r="T5" s="1"/>
      <c r="U5" s="1"/>
      <c r="V5" s="1"/>
      <c r="W5" s="1"/>
      <c r="X5" s="1"/>
      <c r="Y5" s="1"/>
      <c r="Z5" s="1">
        <v>43</v>
      </c>
      <c r="AA5" s="1">
        <v>44</v>
      </c>
      <c r="AB5" s="1">
        <v>38</v>
      </c>
      <c r="AC5" s="1"/>
      <c r="AD5" s="1"/>
      <c r="AE5" s="1"/>
      <c r="AF5" s="1"/>
      <c r="AG5" s="1"/>
      <c r="AH5" s="1"/>
      <c r="AI5" s="8">
        <v>41.666666666666664</v>
      </c>
      <c r="AJ5" s="5">
        <f t="shared" si="0"/>
        <v>48.333333333333336</v>
      </c>
      <c r="AK5" s="5">
        <v>1</v>
      </c>
      <c r="AL5" s="5">
        <f>4.1/4.7</f>
        <v>0.87234042553191482</v>
      </c>
      <c r="AM5" s="5">
        <f>3.6/4.6</f>
        <v>0.78260869565217395</v>
      </c>
      <c r="AN5" s="5"/>
      <c r="AO5" s="5"/>
      <c r="AP5" s="5"/>
      <c r="AQ5" s="5"/>
      <c r="AR5" s="5"/>
      <c r="AS5" s="5"/>
      <c r="AT5" s="5">
        <v>1</v>
      </c>
      <c r="AU5" s="5">
        <v>1</v>
      </c>
      <c r="AV5" s="5"/>
      <c r="AW5" s="5"/>
      <c r="AX5" s="5"/>
      <c r="AY5" s="5">
        <f t="shared" si="1"/>
        <v>1</v>
      </c>
      <c r="AZ5" s="5">
        <v>24.6</v>
      </c>
      <c r="BA5" s="5">
        <v>2.89</v>
      </c>
      <c r="BB5" s="1">
        <v>5.7999999999999996E-3</v>
      </c>
    </row>
    <row r="6" spans="1:54" x14ac:dyDescent="0.25">
      <c r="A6" s="1" t="s">
        <v>5</v>
      </c>
      <c r="B6" s="1" t="s">
        <v>196</v>
      </c>
      <c r="C6" s="1">
        <v>37</v>
      </c>
      <c r="D6" s="1">
        <v>400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>
        <v>39</v>
      </c>
      <c r="R6" s="1">
        <v>29</v>
      </c>
      <c r="S6" s="1">
        <v>28</v>
      </c>
      <c r="T6" s="1"/>
      <c r="U6" s="1"/>
      <c r="V6" s="1"/>
      <c r="W6" s="1"/>
      <c r="X6" s="1"/>
      <c r="Y6" s="1"/>
      <c r="Z6" s="1">
        <v>25</v>
      </c>
      <c r="AA6" s="1">
        <v>37</v>
      </c>
      <c r="AB6" s="1">
        <v>36</v>
      </c>
      <c r="AC6" s="1"/>
      <c r="AD6" s="1"/>
      <c r="AE6" s="1"/>
      <c r="AF6" s="1"/>
      <c r="AG6" s="1"/>
      <c r="AH6" s="1"/>
      <c r="AI6" s="8">
        <v>32.666666666666664</v>
      </c>
      <c r="AJ6" s="5">
        <f t="shared" si="0"/>
        <v>57.333333333333336</v>
      </c>
      <c r="AK6" s="5">
        <f>3/3.5</f>
        <v>0.8571428571428571</v>
      </c>
      <c r="AL6" s="5">
        <v>1</v>
      </c>
      <c r="AM6" s="5">
        <v>1</v>
      </c>
      <c r="AN6" s="5"/>
      <c r="AO6" s="5"/>
      <c r="AP6" s="5"/>
      <c r="AQ6" s="5"/>
      <c r="AR6" s="5"/>
      <c r="AS6" s="5"/>
      <c r="AT6" s="5">
        <v>1</v>
      </c>
      <c r="AU6" s="5">
        <v>1</v>
      </c>
      <c r="AV6" s="5"/>
      <c r="AW6" s="5"/>
      <c r="AX6" s="5"/>
      <c r="AY6" s="5">
        <f t="shared" si="1"/>
        <v>1</v>
      </c>
      <c r="AZ6" s="5">
        <v>25.55</v>
      </c>
      <c r="BA6" s="5">
        <v>3.55</v>
      </c>
      <c r="BB6" s="1">
        <v>8.6999999999999994E-3</v>
      </c>
    </row>
    <row r="7" spans="1:54" x14ac:dyDescent="0.25">
      <c r="A7" s="1" t="s">
        <v>6</v>
      </c>
      <c r="B7" s="1" t="s">
        <v>196</v>
      </c>
      <c r="C7" s="1">
        <v>37</v>
      </c>
      <c r="D7" s="1">
        <v>400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>
        <v>39</v>
      </c>
      <c r="R7" s="1">
        <v>25</v>
      </c>
      <c r="S7" s="1">
        <v>27</v>
      </c>
      <c r="T7" s="1"/>
      <c r="U7" s="1"/>
      <c r="V7" s="1"/>
      <c r="W7" s="1"/>
      <c r="X7" s="1"/>
      <c r="Y7" s="1"/>
      <c r="Z7" s="1">
        <v>34</v>
      </c>
      <c r="AA7" s="1">
        <v>31</v>
      </c>
      <c r="AB7" s="1">
        <v>33</v>
      </c>
      <c r="AC7" s="1"/>
      <c r="AD7" s="1"/>
      <c r="AE7" s="1"/>
      <c r="AF7" s="1"/>
      <c r="AG7" s="1"/>
      <c r="AH7" s="1"/>
      <c r="AI7" s="8">
        <v>32.666666666666664</v>
      </c>
      <c r="AJ7" s="5">
        <f t="shared" si="0"/>
        <v>57.333333333333336</v>
      </c>
      <c r="AK7" s="5">
        <v>1</v>
      </c>
      <c r="AL7" s="5">
        <v>1</v>
      </c>
      <c r="AM7" s="5">
        <v>1</v>
      </c>
      <c r="AN7" s="5"/>
      <c r="AO7" s="5"/>
      <c r="AP7" s="5"/>
      <c r="AQ7" s="5"/>
      <c r="AR7" s="5"/>
      <c r="AS7" s="5"/>
      <c r="AT7" s="5">
        <v>1</v>
      </c>
      <c r="AU7" s="5">
        <v>1</v>
      </c>
      <c r="AV7" s="5"/>
      <c r="AW7" s="5"/>
      <c r="AX7" s="5"/>
      <c r="AY7" s="5">
        <f t="shared" si="1"/>
        <v>1</v>
      </c>
      <c r="AZ7" s="5">
        <v>20.399999999999999</v>
      </c>
      <c r="BA7" s="5">
        <v>2.91</v>
      </c>
      <c r="BB7" s="1">
        <v>5.8999999999999999E-3</v>
      </c>
    </row>
    <row r="8" spans="1:54" x14ac:dyDescent="0.25">
      <c r="A8" s="1" t="s">
        <v>7</v>
      </c>
      <c r="B8" s="1" t="s">
        <v>196</v>
      </c>
      <c r="C8" s="1">
        <v>37</v>
      </c>
      <c r="D8" s="1">
        <v>400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>
        <v>37</v>
      </c>
      <c r="R8" s="1">
        <v>35</v>
      </c>
      <c r="S8" s="1">
        <v>29</v>
      </c>
      <c r="T8" s="1"/>
      <c r="U8" s="1"/>
      <c r="V8" s="1"/>
      <c r="W8" s="1"/>
      <c r="X8" s="1"/>
      <c r="Y8" s="1"/>
      <c r="Z8" s="1">
        <v>37</v>
      </c>
      <c r="AA8" s="1">
        <v>30</v>
      </c>
      <c r="AB8" s="1">
        <v>30</v>
      </c>
      <c r="AC8" s="1"/>
      <c r="AD8" s="1"/>
      <c r="AE8" s="1"/>
      <c r="AF8" s="1"/>
      <c r="AG8" s="1"/>
      <c r="AH8" s="1"/>
      <c r="AI8" s="8">
        <v>32.333333333333336</v>
      </c>
      <c r="AJ8" s="5">
        <f t="shared" si="0"/>
        <v>57.666666666666664</v>
      </c>
      <c r="AK8" s="5">
        <v>1</v>
      </c>
      <c r="AL8" s="5">
        <v>1</v>
      </c>
      <c r="AM8" s="5">
        <v>1</v>
      </c>
      <c r="AN8" s="5"/>
      <c r="AO8" s="5"/>
      <c r="AP8" s="5"/>
      <c r="AQ8" s="5"/>
      <c r="AR8" s="5"/>
      <c r="AS8" s="5"/>
      <c r="AT8" s="5">
        <v>1</v>
      </c>
      <c r="AU8" s="5">
        <f>3.5/3.8</f>
        <v>0.92105263157894746</v>
      </c>
      <c r="AV8" s="5"/>
      <c r="AW8" s="5"/>
      <c r="AX8" s="5"/>
      <c r="AY8" s="5">
        <f t="shared" si="1"/>
        <v>0.96052631578947367</v>
      </c>
      <c r="AZ8" s="5">
        <v>16.57</v>
      </c>
      <c r="BA8" s="5">
        <v>2.2000000000000002</v>
      </c>
      <c r="BB8" s="1">
        <v>7.1000000000000004E-3</v>
      </c>
    </row>
    <row r="9" spans="1:54" x14ac:dyDescent="0.25">
      <c r="A9" s="1" t="s">
        <v>8</v>
      </c>
      <c r="B9" s="1" t="s">
        <v>196</v>
      </c>
      <c r="C9" s="1">
        <v>37</v>
      </c>
      <c r="D9" s="1">
        <v>400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>
        <v>32</v>
      </c>
      <c r="R9" s="1">
        <v>25</v>
      </c>
      <c r="S9" s="1">
        <v>24</v>
      </c>
      <c r="T9" s="1"/>
      <c r="U9" s="1"/>
      <c r="V9" s="1"/>
      <c r="W9" s="1"/>
      <c r="X9" s="1"/>
      <c r="Y9" s="1"/>
      <c r="Z9" s="1">
        <v>26</v>
      </c>
      <c r="AA9" s="1">
        <v>29</v>
      </c>
      <c r="AB9" s="1">
        <v>26</v>
      </c>
      <c r="AC9" s="1"/>
      <c r="AD9" s="1"/>
      <c r="AE9" s="1"/>
      <c r="AF9" s="1"/>
      <c r="AG9" s="1"/>
      <c r="AH9" s="1"/>
      <c r="AI9" s="8">
        <v>27</v>
      </c>
      <c r="AJ9" s="5">
        <f t="shared" si="0"/>
        <v>63</v>
      </c>
      <c r="AK9" s="5">
        <f>4.2/4.6</f>
        <v>0.91304347826086962</v>
      </c>
      <c r="AL9" s="5">
        <f>4/4.5</f>
        <v>0.88888888888888884</v>
      </c>
      <c r="AM9" s="5">
        <v>1</v>
      </c>
      <c r="AN9" s="5"/>
      <c r="AO9" s="5"/>
      <c r="AP9" s="5"/>
      <c r="AQ9" s="5"/>
      <c r="AR9" s="5"/>
      <c r="AS9" s="5"/>
      <c r="AT9" s="5">
        <v>1</v>
      </c>
      <c r="AU9" s="5">
        <f>3.5/4.1</f>
        <v>0.85365853658536595</v>
      </c>
      <c r="AV9" s="5"/>
      <c r="AW9" s="5"/>
      <c r="AX9" s="5"/>
      <c r="AY9" s="5">
        <f t="shared" si="1"/>
        <v>0.92682926829268297</v>
      </c>
      <c r="AZ9" s="5">
        <v>16.010000000000002</v>
      </c>
      <c r="BA9" s="5">
        <v>2.15</v>
      </c>
      <c r="BB9" s="1">
        <v>6.8999999999999999E-3</v>
      </c>
    </row>
    <row r="10" spans="1:54" x14ac:dyDescent="0.25">
      <c r="A10" s="1" t="s">
        <v>9</v>
      </c>
      <c r="B10" s="1" t="s">
        <v>196</v>
      </c>
      <c r="C10" s="1">
        <v>29</v>
      </c>
      <c r="D10" s="1">
        <v>800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>
        <v>31</v>
      </c>
      <c r="R10" s="1">
        <v>35</v>
      </c>
      <c r="S10" s="1">
        <v>25</v>
      </c>
      <c r="T10" s="1"/>
      <c r="U10" s="1"/>
      <c r="V10" s="1"/>
      <c r="W10" s="1"/>
      <c r="X10" s="1"/>
      <c r="Y10" s="1"/>
      <c r="Z10" s="1">
        <v>36</v>
      </c>
      <c r="AA10" s="1">
        <v>40</v>
      </c>
      <c r="AB10" s="1">
        <v>31</v>
      </c>
      <c r="AC10" s="1"/>
      <c r="AD10" s="1"/>
      <c r="AE10" s="1"/>
      <c r="AF10" s="1"/>
      <c r="AG10" s="1"/>
      <c r="AH10" s="1"/>
      <c r="AI10" s="8">
        <v>35.666666666666664</v>
      </c>
      <c r="AJ10" s="5">
        <f t="shared" si="0"/>
        <v>54.333333333333336</v>
      </c>
      <c r="AK10" s="5">
        <v>1</v>
      </c>
      <c r="AL10" s="5">
        <f>4.1/4.8</f>
        <v>0.85416666666666663</v>
      </c>
      <c r="AM10" s="5">
        <f>4.4/5.1</f>
        <v>0.86274509803921584</v>
      </c>
      <c r="AN10" s="5"/>
      <c r="AO10" s="5"/>
      <c r="AP10" s="5"/>
      <c r="AQ10" s="5"/>
      <c r="AR10" s="5"/>
      <c r="AS10" s="5"/>
      <c r="AT10" s="5">
        <v>1</v>
      </c>
      <c r="AU10" s="5">
        <v>1</v>
      </c>
      <c r="AV10" s="5"/>
      <c r="AW10" s="5"/>
      <c r="AX10" s="5"/>
      <c r="AY10" s="5">
        <f t="shared" si="1"/>
        <v>1</v>
      </c>
      <c r="AZ10" s="5">
        <v>28.31</v>
      </c>
      <c r="BA10" s="5">
        <v>4.55</v>
      </c>
      <c r="BB10" s="1">
        <v>9.4999999999999998E-3</v>
      </c>
    </row>
    <row r="11" spans="1:54" x14ac:dyDescent="0.25">
      <c r="A11" s="1" t="s">
        <v>10</v>
      </c>
      <c r="B11" s="1" t="s">
        <v>196</v>
      </c>
      <c r="C11" s="1">
        <v>29</v>
      </c>
      <c r="D11" s="1">
        <v>800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>
        <v>30</v>
      </c>
      <c r="R11" s="1">
        <v>29</v>
      </c>
      <c r="S11" s="1">
        <v>26</v>
      </c>
      <c r="T11" s="1"/>
      <c r="U11" s="1"/>
      <c r="V11" s="1"/>
      <c r="W11" s="1"/>
      <c r="X11" s="1"/>
      <c r="Y11" s="1"/>
      <c r="Z11" s="1">
        <v>29</v>
      </c>
      <c r="AA11" s="1">
        <v>30</v>
      </c>
      <c r="AB11" s="1">
        <v>30</v>
      </c>
      <c r="AC11" s="1"/>
      <c r="AD11" s="1"/>
      <c r="AE11" s="1"/>
      <c r="AF11" s="1"/>
      <c r="AG11" s="1"/>
      <c r="AH11" s="1"/>
      <c r="AI11" s="8">
        <v>29.666666666666668</v>
      </c>
      <c r="AJ11" s="5">
        <f t="shared" si="0"/>
        <v>60.333333333333329</v>
      </c>
      <c r="AK11" s="5">
        <f>5.3/6.3</f>
        <v>0.84126984126984128</v>
      </c>
      <c r="AL11" s="5">
        <f>4/5.2</f>
        <v>0.76923076923076916</v>
      </c>
      <c r="AM11" s="5">
        <f>3.4/4.5</f>
        <v>0.75555555555555554</v>
      </c>
      <c r="AN11" s="5"/>
      <c r="AO11" s="5"/>
      <c r="AP11" s="5"/>
      <c r="AQ11" s="5"/>
      <c r="AR11" s="5"/>
      <c r="AS11" s="5"/>
      <c r="AT11" s="5">
        <f>4.1/4.4</f>
        <v>0.93181818181818166</v>
      </c>
      <c r="AU11" s="5">
        <f>6.3/6.5</f>
        <v>0.96923076923076923</v>
      </c>
      <c r="AV11" s="5"/>
      <c r="AW11" s="5"/>
      <c r="AX11" s="5"/>
      <c r="AY11" s="5">
        <f t="shared" si="1"/>
        <v>0.9505244755244755</v>
      </c>
      <c r="AZ11" s="5">
        <v>37.75</v>
      </c>
      <c r="BA11" s="5">
        <v>5.92</v>
      </c>
      <c r="BB11" s="1">
        <v>9.4000000000000004E-3</v>
      </c>
    </row>
    <row r="12" spans="1:54" x14ac:dyDescent="0.25">
      <c r="A12" s="1" t="s">
        <v>11</v>
      </c>
      <c r="B12" s="1" t="s">
        <v>196</v>
      </c>
      <c r="C12" s="1">
        <v>29</v>
      </c>
      <c r="D12" s="1">
        <v>800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>
        <v>36</v>
      </c>
      <c r="R12" s="1">
        <v>42</v>
      </c>
      <c r="S12" s="1">
        <v>41</v>
      </c>
      <c r="T12" s="1"/>
      <c r="U12" s="1"/>
      <c r="V12" s="1"/>
      <c r="W12" s="1"/>
      <c r="X12" s="1"/>
      <c r="Y12" s="1"/>
      <c r="Z12" s="1">
        <v>32</v>
      </c>
      <c r="AA12" s="1">
        <v>59</v>
      </c>
      <c r="AB12" s="1">
        <v>30</v>
      </c>
      <c r="AC12" s="1"/>
      <c r="AD12" s="1"/>
      <c r="AE12" s="1"/>
      <c r="AF12" s="1"/>
      <c r="AG12" s="1"/>
      <c r="AH12" s="1"/>
      <c r="AI12" s="8">
        <v>40.333333333333336</v>
      </c>
      <c r="AJ12" s="5">
        <f t="shared" si="0"/>
        <v>49.666666666666664</v>
      </c>
      <c r="AK12" s="5">
        <f>4.6/5.7</f>
        <v>0.80701754385964908</v>
      </c>
      <c r="AL12" s="5">
        <f>5/5.8</f>
        <v>0.86206896551724144</v>
      </c>
      <c r="AM12" s="5">
        <f>4.9/6.6</f>
        <v>0.74242424242424254</v>
      </c>
      <c r="AN12" s="5"/>
      <c r="AO12" s="5"/>
      <c r="AP12" s="5"/>
      <c r="AQ12" s="5"/>
      <c r="AR12" s="5"/>
      <c r="AS12" s="5"/>
      <c r="AT12" s="5">
        <f>5/5.7</f>
        <v>0.8771929824561403</v>
      </c>
      <c r="AU12" s="5">
        <f>5/5.7</f>
        <v>0.8771929824561403</v>
      </c>
      <c r="AV12" s="5"/>
      <c r="AW12" s="5"/>
      <c r="AX12" s="5"/>
      <c r="AY12" s="5">
        <f t="shared" si="1"/>
        <v>0.8771929824561403</v>
      </c>
      <c r="AZ12" s="5">
        <v>52.68</v>
      </c>
      <c r="BA12" s="5">
        <v>9.08</v>
      </c>
      <c r="BB12" s="1">
        <v>1.2200000000000001E-2</v>
      </c>
    </row>
    <row r="13" spans="1:54" x14ac:dyDescent="0.25">
      <c r="A13" s="1" t="s">
        <v>12</v>
      </c>
      <c r="B13" s="1" t="s">
        <v>196</v>
      </c>
      <c r="C13" s="1">
        <v>29</v>
      </c>
      <c r="D13" s="1">
        <v>800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>
        <v>34</v>
      </c>
      <c r="R13" s="1">
        <v>35</v>
      </c>
      <c r="S13" s="1">
        <v>28</v>
      </c>
      <c r="T13" s="1"/>
      <c r="U13" s="1"/>
      <c r="V13" s="1"/>
      <c r="W13" s="1"/>
      <c r="X13" s="1"/>
      <c r="Y13" s="1"/>
      <c r="Z13" s="1">
        <v>35</v>
      </c>
      <c r="AA13" s="1">
        <v>32</v>
      </c>
      <c r="AB13" s="1">
        <v>29</v>
      </c>
      <c r="AC13" s="1"/>
      <c r="AD13" s="1"/>
      <c r="AE13" s="1"/>
      <c r="AF13" s="1"/>
      <c r="AG13" s="1"/>
      <c r="AH13" s="1"/>
      <c r="AI13" s="8">
        <v>32</v>
      </c>
      <c r="AJ13" s="5">
        <f t="shared" si="0"/>
        <v>58</v>
      </c>
      <c r="AK13" s="5">
        <f>5.4/5.9</f>
        <v>0.9152542372881356</v>
      </c>
      <c r="AL13" s="5">
        <f>4.2/5</f>
        <v>0.84000000000000008</v>
      </c>
      <c r="AM13" s="5">
        <f>3.3/4.2</f>
        <v>0.78571428571428559</v>
      </c>
      <c r="AN13" s="5"/>
      <c r="AO13" s="5"/>
      <c r="AP13" s="5"/>
      <c r="AQ13" s="5"/>
      <c r="AR13" s="5"/>
      <c r="AS13" s="5"/>
      <c r="AT13" s="5">
        <f>4.5/5.3</f>
        <v>0.84905660377358494</v>
      </c>
      <c r="AU13" s="5">
        <f>3.5/4.4</f>
        <v>0.79545454545454541</v>
      </c>
      <c r="AV13" s="5"/>
      <c r="AW13" s="5"/>
      <c r="AX13" s="5"/>
      <c r="AY13" s="5">
        <f t="shared" si="1"/>
        <v>0.82225557461406518</v>
      </c>
      <c r="AZ13" s="5">
        <v>37.64</v>
      </c>
      <c r="BA13" s="5">
        <v>5.68</v>
      </c>
      <c r="BB13" s="1">
        <v>9.7000000000000003E-3</v>
      </c>
    </row>
    <row r="14" spans="1:54" x14ac:dyDescent="0.25">
      <c r="A14" s="1" t="s">
        <v>13</v>
      </c>
      <c r="B14" s="1" t="s">
        <v>196</v>
      </c>
      <c r="C14" s="1">
        <v>37</v>
      </c>
      <c r="D14" s="1">
        <v>800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>
        <v>33</v>
      </c>
      <c r="R14" s="1">
        <v>33</v>
      </c>
      <c r="S14" s="1">
        <v>25</v>
      </c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8"/>
      <c r="AJ14" s="5"/>
      <c r="AK14" s="5">
        <f>2.9/3.7</f>
        <v>0.78378378378378377</v>
      </c>
      <c r="AL14" s="5">
        <f>3.6/4.3</f>
        <v>0.83720930232558144</v>
      </c>
      <c r="AM14" s="5">
        <f>4.5/5</f>
        <v>0.9</v>
      </c>
      <c r="AN14" s="5"/>
      <c r="AO14" s="5"/>
      <c r="AP14" s="5"/>
      <c r="AQ14" s="5"/>
      <c r="AR14" s="5"/>
      <c r="AS14" s="5"/>
      <c r="AT14" s="5">
        <v>1</v>
      </c>
      <c r="AU14" s="5">
        <v>1</v>
      </c>
      <c r="AV14" s="5"/>
      <c r="AW14" s="5"/>
      <c r="AX14" s="5"/>
      <c r="AY14" s="5">
        <f t="shared" si="1"/>
        <v>1</v>
      </c>
      <c r="AZ14" s="5"/>
      <c r="BA14" s="5"/>
      <c r="BB14" s="1"/>
    </row>
    <row r="15" spans="1:54" x14ac:dyDescent="0.25">
      <c r="A15" s="1" t="s">
        <v>14</v>
      </c>
      <c r="B15" s="1" t="s">
        <v>196</v>
      </c>
      <c r="C15" s="1">
        <v>37</v>
      </c>
      <c r="D15" s="1">
        <v>800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>
        <v>31</v>
      </c>
      <c r="R15" s="1">
        <v>28</v>
      </c>
      <c r="S15" s="1">
        <v>25</v>
      </c>
      <c r="T15" s="1"/>
      <c r="U15" s="1"/>
      <c r="V15" s="1"/>
      <c r="W15" s="1"/>
      <c r="X15" s="1"/>
      <c r="Y15" s="1"/>
      <c r="Z15" s="1">
        <v>29</v>
      </c>
      <c r="AA15" s="1">
        <v>28</v>
      </c>
      <c r="AB15" s="1">
        <v>27</v>
      </c>
      <c r="AC15" s="1"/>
      <c r="AD15" s="1"/>
      <c r="AE15" s="1"/>
      <c r="AF15" s="1"/>
      <c r="AG15" s="1"/>
      <c r="AH15" s="1"/>
      <c r="AI15" s="8">
        <v>28</v>
      </c>
      <c r="AJ15" s="5">
        <f t="shared" si="0"/>
        <v>62</v>
      </c>
      <c r="AK15" s="5">
        <f>2.4/3</f>
        <v>0.79999999999999993</v>
      </c>
      <c r="AL15" s="5">
        <f>3.6/4.3</f>
        <v>0.83720930232558144</v>
      </c>
      <c r="AM15" s="5">
        <f>3.5/3.7</f>
        <v>0.94594594594594594</v>
      </c>
      <c r="AN15" s="5"/>
      <c r="AO15" s="5"/>
      <c r="AP15" s="5"/>
      <c r="AQ15" s="5"/>
      <c r="AR15" s="5"/>
      <c r="AS15" s="5"/>
      <c r="AT15" s="5">
        <f>2.5/3.2</f>
        <v>0.78125</v>
      </c>
      <c r="AU15" s="5">
        <f>3.5/3.7</f>
        <v>0.94594594594594594</v>
      </c>
      <c r="AV15" s="5"/>
      <c r="AW15" s="5"/>
      <c r="AX15" s="5"/>
      <c r="AY15" s="5">
        <f t="shared" si="1"/>
        <v>0.86359797297297303</v>
      </c>
      <c r="AZ15" s="5">
        <v>20.47</v>
      </c>
      <c r="BA15" s="5">
        <v>4.25</v>
      </c>
      <c r="BB15" s="1">
        <v>1.32E-2</v>
      </c>
    </row>
    <row r="16" spans="1:54" x14ac:dyDescent="0.25">
      <c r="A16" s="1" t="s">
        <v>15</v>
      </c>
      <c r="B16" s="1" t="s">
        <v>196</v>
      </c>
      <c r="C16" s="1">
        <v>37</v>
      </c>
      <c r="D16" s="1">
        <v>800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>
        <v>37</v>
      </c>
      <c r="R16" s="1">
        <v>32</v>
      </c>
      <c r="S16" s="1">
        <v>24</v>
      </c>
      <c r="T16" s="1"/>
      <c r="U16" s="1"/>
      <c r="V16" s="1"/>
      <c r="W16" s="1"/>
      <c r="X16" s="1"/>
      <c r="Y16" s="1"/>
      <c r="Z16" s="1">
        <v>35</v>
      </c>
      <c r="AA16" s="1">
        <v>25</v>
      </c>
      <c r="AB16" s="1">
        <v>23</v>
      </c>
      <c r="AC16" s="1"/>
      <c r="AD16" s="1"/>
      <c r="AE16" s="1"/>
      <c r="AF16" s="1"/>
      <c r="AG16" s="1"/>
      <c r="AH16" s="1"/>
      <c r="AI16" s="8">
        <v>27.666666666666668</v>
      </c>
      <c r="AJ16" s="5">
        <f t="shared" si="0"/>
        <v>62.333333333333329</v>
      </c>
      <c r="AK16" s="5">
        <f>2.9/3.8</f>
        <v>0.76315789473684215</v>
      </c>
      <c r="AL16" s="5">
        <f>2.9/3.5</f>
        <v>0.82857142857142851</v>
      </c>
      <c r="AM16" s="5">
        <f>3.3/4.1</f>
        <v>0.80487804878048785</v>
      </c>
      <c r="AN16" s="5"/>
      <c r="AO16" s="5"/>
      <c r="AP16" s="5"/>
      <c r="AQ16" s="5"/>
      <c r="AR16" s="5"/>
      <c r="AS16" s="5"/>
      <c r="AT16" s="5">
        <f>2.9/3.9</f>
        <v>0.74358974358974361</v>
      </c>
      <c r="AU16" s="5">
        <f>2.6/3.6</f>
        <v>0.72222222222222221</v>
      </c>
      <c r="AV16" s="5"/>
      <c r="AW16" s="5"/>
      <c r="AX16" s="5"/>
      <c r="AY16" s="5">
        <f t="shared" si="1"/>
        <v>0.73290598290598297</v>
      </c>
      <c r="AZ16" s="5">
        <v>10.67</v>
      </c>
      <c r="BA16" s="5">
        <v>3.94</v>
      </c>
      <c r="BB16" s="1">
        <v>1.4500000000000001E-2</v>
      </c>
    </row>
    <row r="17" spans="1:54" x14ac:dyDescent="0.25">
      <c r="A17" s="1" t="s">
        <v>16</v>
      </c>
      <c r="B17" s="1" t="s">
        <v>196</v>
      </c>
      <c r="C17" s="1">
        <v>37</v>
      </c>
      <c r="D17" s="1">
        <v>800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>
        <v>38</v>
      </c>
      <c r="R17" s="1">
        <v>29</v>
      </c>
      <c r="S17" s="1">
        <v>26</v>
      </c>
      <c r="T17" s="1"/>
      <c r="U17" s="1"/>
      <c r="V17" s="1"/>
      <c r="W17" s="1"/>
      <c r="X17" s="1"/>
      <c r="Y17" s="1"/>
      <c r="Z17" s="1">
        <v>32</v>
      </c>
      <c r="AA17" s="1">
        <v>24</v>
      </c>
      <c r="AB17" s="1">
        <v>24</v>
      </c>
      <c r="AC17" s="1"/>
      <c r="AD17" s="1"/>
      <c r="AE17" s="1"/>
      <c r="AF17" s="1"/>
      <c r="AG17" s="1"/>
      <c r="AH17" s="1"/>
      <c r="AI17" s="8">
        <v>26.666666666666668</v>
      </c>
      <c r="AJ17" s="5">
        <f t="shared" si="0"/>
        <v>63.333333333333329</v>
      </c>
      <c r="AK17" s="5">
        <f>4.4/4.6</f>
        <v>0.95652173913043492</v>
      </c>
      <c r="AL17" s="5">
        <f>3.5/4</f>
        <v>0.875</v>
      </c>
      <c r="AM17" s="5">
        <f>4.1/4.4</f>
        <v>0.93181818181818166</v>
      </c>
      <c r="AN17" s="5"/>
      <c r="AO17" s="5"/>
      <c r="AP17" s="5"/>
      <c r="AQ17" s="5"/>
      <c r="AR17" s="5"/>
      <c r="AS17" s="5"/>
      <c r="AT17" s="5">
        <f>3/4.3</f>
        <v>0.69767441860465118</v>
      </c>
      <c r="AU17" s="5">
        <f>3/5.8</f>
        <v>0.51724137931034486</v>
      </c>
      <c r="AV17" s="5"/>
      <c r="AW17" s="5"/>
      <c r="AX17" s="5"/>
      <c r="AY17" s="5">
        <f t="shared" si="1"/>
        <v>0.60745789895749802</v>
      </c>
      <c r="AZ17" s="5">
        <v>23.08</v>
      </c>
      <c r="BA17" s="5">
        <v>4.47</v>
      </c>
      <c r="BB17" s="1">
        <v>1.2999999999999999E-2</v>
      </c>
    </row>
    <row r="18" spans="1:54" x14ac:dyDescent="0.25">
      <c r="A18" s="1" t="s">
        <v>17</v>
      </c>
      <c r="B18" s="1" t="s">
        <v>197</v>
      </c>
      <c r="C18" s="1">
        <v>38</v>
      </c>
      <c r="D18" s="9">
        <v>800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>
        <v>40</v>
      </c>
      <c r="U18" s="1">
        <v>30</v>
      </c>
      <c r="V18" s="1"/>
      <c r="W18" s="1"/>
      <c r="X18" s="1"/>
      <c r="Y18" s="1"/>
      <c r="Z18" s="1">
        <v>22</v>
      </c>
      <c r="AA18" s="1">
        <v>28</v>
      </c>
      <c r="AB18" s="1"/>
      <c r="AC18" s="1"/>
      <c r="AD18" s="1"/>
      <c r="AE18" s="1"/>
      <c r="AF18" s="1">
        <v>19</v>
      </c>
      <c r="AG18" s="1">
        <v>26</v>
      </c>
      <c r="AH18" s="1"/>
      <c r="AI18" s="5">
        <v>23.75</v>
      </c>
      <c r="AJ18" s="5">
        <v>66.25</v>
      </c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3.48</v>
      </c>
      <c r="BA18" s="5">
        <v>0.56999999999999995</v>
      </c>
      <c r="BB18" s="1"/>
    </row>
    <row r="19" spans="1:54" x14ac:dyDescent="0.25">
      <c r="A19" s="1" t="s">
        <v>18</v>
      </c>
      <c r="B19" s="1" t="s">
        <v>197</v>
      </c>
      <c r="C19" s="1">
        <v>38</v>
      </c>
      <c r="D19" s="9">
        <v>800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>
        <v>30</v>
      </c>
      <c r="U19" s="1">
        <v>25</v>
      </c>
      <c r="V19" s="1"/>
      <c r="W19" s="1"/>
      <c r="X19" s="1"/>
      <c r="Y19" s="1"/>
      <c r="Z19" s="1">
        <v>15</v>
      </c>
      <c r="AA19" s="1">
        <v>32</v>
      </c>
      <c r="AB19" s="1"/>
      <c r="AC19" s="1"/>
      <c r="AD19" s="1"/>
      <c r="AE19" s="1"/>
      <c r="AF19" s="1">
        <v>18</v>
      </c>
      <c r="AG19" s="1">
        <v>22</v>
      </c>
      <c r="AH19" s="1"/>
      <c r="AI19" s="5">
        <v>21.75</v>
      </c>
      <c r="AJ19" s="5">
        <v>68.25</v>
      </c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4.91</v>
      </c>
      <c r="BA19" s="5">
        <v>0.76</v>
      </c>
      <c r="BB19" s="1"/>
    </row>
    <row r="20" spans="1:54" x14ac:dyDescent="0.25">
      <c r="A20" s="1" t="s">
        <v>19</v>
      </c>
      <c r="B20" s="1" t="s">
        <v>197</v>
      </c>
      <c r="C20" s="1">
        <v>38</v>
      </c>
      <c r="D20" s="9">
        <v>800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>
        <v>18</v>
      </c>
      <c r="U20" s="1">
        <v>28</v>
      </c>
      <c r="V20" s="1"/>
      <c r="W20" s="1"/>
      <c r="X20" s="1"/>
      <c r="Y20" s="1"/>
      <c r="Z20" s="1">
        <v>20</v>
      </c>
      <c r="AA20" s="1">
        <v>12</v>
      </c>
      <c r="AB20" s="1"/>
      <c r="AC20" s="1"/>
      <c r="AD20" s="1"/>
      <c r="AE20" s="1"/>
      <c r="AF20" s="1">
        <v>25</v>
      </c>
      <c r="AG20" s="1">
        <v>17</v>
      </c>
      <c r="AH20" s="1"/>
      <c r="AI20" s="5">
        <v>18.5</v>
      </c>
      <c r="AJ20" s="5">
        <v>71.5</v>
      </c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6.78</v>
      </c>
      <c r="BA20" s="5">
        <v>1.1399999999999999</v>
      </c>
      <c r="BB20" s="1"/>
    </row>
    <row r="21" spans="1:54" x14ac:dyDescent="0.25">
      <c r="A21" s="1" t="s">
        <v>20</v>
      </c>
      <c r="B21" s="1" t="s">
        <v>197</v>
      </c>
      <c r="C21" s="1">
        <v>38</v>
      </c>
      <c r="D21" s="9">
        <v>400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>
        <v>45</v>
      </c>
      <c r="U21" s="1">
        <v>42</v>
      </c>
      <c r="V21" s="1"/>
      <c r="W21" s="1"/>
      <c r="X21" s="1"/>
      <c r="Y21" s="1"/>
      <c r="Z21" s="1">
        <v>44</v>
      </c>
      <c r="AA21" s="1">
        <v>43</v>
      </c>
      <c r="AB21" s="1"/>
      <c r="AC21" s="1"/>
      <c r="AD21" s="1"/>
      <c r="AE21" s="1"/>
      <c r="AF21" s="1">
        <v>32</v>
      </c>
      <c r="AG21" s="1">
        <v>34</v>
      </c>
      <c r="AH21" s="1"/>
      <c r="AI21" s="5">
        <v>38.25</v>
      </c>
      <c r="AJ21" s="5">
        <v>51.75</v>
      </c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15.09</v>
      </c>
      <c r="BA21" s="5">
        <v>2.04</v>
      </c>
      <c r="BB21" s="1"/>
    </row>
    <row r="22" spans="1:54" x14ac:dyDescent="0.25">
      <c r="A22" s="1" t="s">
        <v>21</v>
      </c>
      <c r="B22" s="1" t="s">
        <v>197</v>
      </c>
      <c r="C22" s="1">
        <v>38</v>
      </c>
      <c r="D22" s="9">
        <v>400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>
        <v>40</v>
      </c>
      <c r="U22" s="1">
        <v>38</v>
      </c>
      <c r="V22" s="1"/>
      <c r="W22" s="1"/>
      <c r="X22" s="1"/>
      <c r="Y22" s="1"/>
      <c r="Z22" s="1">
        <v>30</v>
      </c>
      <c r="AA22" s="1">
        <v>28</v>
      </c>
      <c r="AB22" s="1"/>
      <c r="AC22" s="1"/>
      <c r="AD22" s="1"/>
      <c r="AE22" s="1"/>
      <c r="AF22" s="1">
        <v>32</v>
      </c>
      <c r="AG22" s="1">
        <v>34</v>
      </c>
      <c r="AH22" s="1"/>
      <c r="AI22" s="5">
        <v>31</v>
      </c>
      <c r="AJ22" s="5">
        <v>59</v>
      </c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14.25</v>
      </c>
      <c r="BA22" s="5">
        <v>1.92</v>
      </c>
      <c r="BB22" s="1"/>
    </row>
    <row r="23" spans="1:54" x14ac:dyDescent="0.25">
      <c r="A23" s="1" t="s">
        <v>22</v>
      </c>
      <c r="B23" s="1" t="s">
        <v>197</v>
      </c>
      <c r="C23" s="1">
        <v>38</v>
      </c>
      <c r="D23" s="9">
        <v>400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>
        <v>47</v>
      </c>
      <c r="U23" s="1">
        <v>48</v>
      </c>
      <c r="V23" s="1"/>
      <c r="W23" s="1"/>
      <c r="X23" s="1"/>
      <c r="Y23" s="1"/>
      <c r="Z23" s="1">
        <v>44</v>
      </c>
      <c r="AA23" s="1">
        <v>36</v>
      </c>
      <c r="AB23" s="1"/>
      <c r="AC23" s="1"/>
      <c r="AD23" s="1"/>
      <c r="AE23" s="1"/>
      <c r="AF23" s="1">
        <v>43</v>
      </c>
      <c r="AG23" s="1">
        <v>43</v>
      </c>
      <c r="AH23" s="1"/>
      <c r="AI23" s="5">
        <v>41.5</v>
      </c>
      <c r="AJ23" s="5">
        <v>48.5</v>
      </c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17.95</v>
      </c>
      <c r="BA23" s="5">
        <v>3.05</v>
      </c>
      <c r="BB23" s="1"/>
    </row>
    <row r="24" spans="1:54" x14ac:dyDescent="0.25">
      <c r="A24" s="1" t="s">
        <v>23</v>
      </c>
      <c r="B24" s="1" t="s">
        <v>197</v>
      </c>
      <c r="C24" s="1">
        <v>38</v>
      </c>
      <c r="D24" s="9">
        <v>400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>
        <v>46</v>
      </c>
      <c r="U24" s="1">
        <v>48</v>
      </c>
      <c r="V24" s="1"/>
      <c r="W24" s="1"/>
      <c r="X24" s="1"/>
      <c r="Y24" s="1"/>
      <c r="Z24" s="1">
        <v>37</v>
      </c>
      <c r="AA24" s="1">
        <v>42</v>
      </c>
      <c r="AB24" s="1"/>
      <c r="AC24" s="1"/>
      <c r="AD24" s="1"/>
      <c r="AE24" s="1"/>
      <c r="AF24" s="1">
        <v>36</v>
      </c>
      <c r="AG24" s="1">
        <v>34</v>
      </c>
      <c r="AH24" s="1"/>
      <c r="AI24" s="5">
        <v>37.25</v>
      </c>
      <c r="AJ24" s="5">
        <v>52.75</v>
      </c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20.68</v>
      </c>
      <c r="BA24" s="5">
        <v>2.81</v>
      </c>
      <c r="BB24" s="1"/>
    </row>
    <row r="25" spans="1:54" x14ac:dyDescent="0.25">
      <c r="A25" s="1" t="s">
        <v>24</v>
      </c>
      <c r="B25" s="1" t="s">
        <v>197</v>
      </c>
      <c r="C25" s="1">
        <v>30</v>
      </c>
      <c r="D25" s="9">
        <v>800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>
        <v>52</v>
      </c>
      <c r="U25" s="1">
        <v>45</v>
      </c>
      <c r="V25" s="1"/>
      <c r="W25" s="1"/>
      <c r="X25" s="1"/>
      <c r="Y25" s="1"/>
      <c r="Z25" s="1">
        <v>49</v>
      </c>
      <c r="AA25" s="1">
        <v>55</v>
      </c>
      <c r="AB25" s="1"/>
      <c r="AC25" s="1"/>
      <c r="AD25" s="1"/>
      <c r="AE25" s="1"/>
      <c r="AF25" s="1">
        <v>53</v>
      </c>
      <c r="AG25" s="1">
        <v>55</v>
      </c>
      <c r="AH25" s="1"/>
      <c r="AI25" s="5">
        <v>53</v>
      </c>
      <c r="AJ25" s="5">
        <v>37</v>
      </c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21.94</v>
      </c>
      <c r="BA25" s="5">
        <v>5.07</v>
      </c>
      <c r="BB25" s="1"/>
    </row>
    <row r="26" spans="1:54" x14ac:dyDescent="0.25">
      <c r="A26" s="1" t="s">
        <v>25</v>
      </c>
      <c r="B26" s="1" t="s">
        <v>197</v>
      </c>
      <c r="C26" s="1">
        <v>30</v>
      </c>
      <c r="D26" s="9">
        <v>800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>
        <v>59</v>
      </c>
      <c r="U26" s="1">
        <v>56</v>
      </c>
      <c r="V26" s="1"/>
      <c r="W26" s="1"/>
      <c r="X26" s="1"/>
      <c r="Y26" s="1"/>
      <c r="Z26" s="1">
        <v>63</v>
      </c>
      <c r="AA26" s="1">
        <v>49</v>
      </c>
      <c r="AB26" s="1"/>
      <c r="AC26" s="1"/>
      <c r="AD26" s="1"/>
      <c r="AE26" s="1"/>
      <c r="AF26" s="1">
        <v>44</v>
      </c>
      <c r="AG26" s="1">
        <v>40</v>
      </c>
      <c r="AH26" s="1"/>
      <c r="AI26" s="5">
        <v>49</v>
      </c>
      <c r="AJ26" s="5">
        <v>41</v>
      </c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14.05</v>
      </c>
      <c r="BA26" s="5">
        <v>2.98</v>
      </c>
      <c r="BB26" s="1"/>
    </row>
    <row r="27" spans="1:54" x14ac:dyDescent="0.25">
      <c r="A27" s="1" t="s">
        <v>26</v>
      </c>
      <c r="B27" s="1" t="s">
        <v>197</v>
      </c>
      <c r="C27" s="1">
        <v>30</v>
      </c>
      <c r="D27" s="9">
        <v>800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>
        <v>50</v>
      </c>
      <c r="U27" s="1">
        <v>42</v>
      </c>
      <c r="V27" s="1"/>
      <c r="W27" s="1"/>
      <c r="X27" s="1"/>
      <c r="Y27" s="1"/>
      <c r="Z27" s="1">
        <v>54</v>
      </c>
      <c r="AA27" s="1">
        <v>43</v>
      </c>
      <c r="AB27" s="1"/>
      <c r="AC27" s="1"/>
      <c r="AD27" s="1"/>
      <c r="AE27" s="1"/>
      <c r="AF27" s="1">
        <v>50</v>
      </c>
      <c r="AG27" s="1">
        <v>43</v>
      </c>
      <c r="AH27" s="1"/>
      <c r="AI27" s="5">
        <v>47.5</v>
      </c>
      <c r="AJ27" s="5">
        <v>42.5</v>
      </c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>
        <v>13.14</v>
      </c>
      <c r="BA27" s="5">
        <v>3.46</v>
      </c>
      <c r="BB27" s="1"/>
    </row>
    <row r="28" spans="1:54" x14ac:dyDescent="0.25">
      <c r="A28" s="1" t="s">
        <v>27</v>
      </c>
      <c r="B28" s="1" t="s">
        <v>197</v>
      </c>
      <c r="C28" s="1">
        <v>30</v>
      </c>
      <c r="D28" s="9">
        <v>400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>
        <v>60</v>
      </c>
      <c r="U28" s="1">
        <v>67</v>
      </c>
      <c r="V28" s="1"/>
      <c r="W28" s="1"/>
      <c r="X28" s="1"/>
      <c r="Y28" s="1"/>
      <c r="Z28" s="1">
        <v>55</v>
      </c>
      <c r="AA28" s="1">
        <v>59</v>
      </c>
      <c r="AB28" s="1"/>
      <c r="AC28" s="1"/>
      <c r="AD28" s="1"/>
      <c r="AE28" s="1"/>
      <c r="AF28" s="1">
        <v>50</v>
      </c>
      <c r="AG28" s="1">
        <v>49</v>
      </c>
      <c r="AH28" s="1"/>
      <c r="AI28" s="5">
        <v>53.25</v>
      </c>
      <c r="AJ28" s="5">
        <v>36.75</v>
      </c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20.100000000000001</v>
      </c>
      <c r="BA28" s="5">
        <v>3.68</v>
      </c>
      <c r="BB28" s="1"/>
    </row>
    <row r="29" spans="1:54" x14ac:dyDescent="0.25">
      <c r="A29" s="1" t="s">
        <v>28</v>
      </c>
      <c r="B29" s="1" t="s">
        <v>197</v>
      </c>
      <c r="C29" s="1">
        <v>30</v>
      </c>
      <c r="D29" s="9">
        <v>400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>
        <v>54</v>
      </c>
      <c r="U29" s="1">
        <v>55</v>
      </c>
      <c r="V29" s="1"/>
      <c r="W29" s="1"/>
      <c r="X29" s="1"/>
      <c r="Y29" s="1"/>
      <c r="Z29" s="1">
        <v>57</v>
      </c>
      <c r="AA29" s="1">
        <v>47</v>
      </c>
      <c r="AB29" s="1"/>
      <c r="AC29" s="1"/>
      <c r="AD29" s="1"/>
      <c r="AE29" s="1"/>
      <c r="AF29" s="1">
        <v>48</v>
      </c>
      <c r="AG29" s="1">
        <v>45</v>
      </c>
      <c r="AH29" s="1"/>
      <c r="AI29" s="5">
        <v>49.25</v>
      </c>
      <c r="AJ29" s="5">
        <v>40.75</v>
      </c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23.51</v>
      </c>
      <c r="BA29" s="5">
        <v>4.04</v>
      </c>
      <c r="BB29" s="1"/>
    </row>
    <row r="30" spans="1:54" x14ac:dyDescent="0.25">
      <c r="A30" s="1" t="s">
        <v>29</v>
      </c>
      <c r="B30" s="1" t="s">
        <v>197</v>
      </c>
      <c r="C30" s="1">
        <v>30</v>
      </c>
      <c r="D30" s="9">
        <v>400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>
        <v>60</v>
      </c>
      <c r="U30" s="1">
        <v>51</v>
      </c>
      <c r="V30" s="1"/>
      <c r="W30" s="1"/>
      <c r="X30" s="1"/>
      <c r="Y30" s="1"/>
      <c r="Z30" s="1">
        <v>60</v>
      </c>
      <c r="AA30" s="1">
        <v>57</v>
      </c>
      <c r="AB30" s="1"/>
      <c r="AC30" s="1"/>
      <c r="AD30" s="1"/>
      <c r="AE30" s="1"/>
      <c r="AF30" s="1">
        <v>62</v>
      </c>
      <c r="AG30" s="1">
        <v>58</v>
      </c>
      <c r="AH30" s="1"/>
      <c r="AI30" s="5">
        <v>59.25</v>
      </c>
      <c r="AJ30" s="5">
        <v>30.75</v>
      </c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18.16</v>
      </c>
      <c r="BA30" s="5">
        <v>3.23</v>
      </c>
      <c r="BB30" s="1"/>
    </row>
    <row r="31" spans="1:54" x14ac:dyDescent="0.25">
      <c r="A31" s="1" t="s">
        <v>30</v>
      </c>
      <c r="B31" s="1" t="s">
        <v>197</v>
      </c>
      <c r="C31" s="1">
        <v>30</v>
      </c>
      <c r="D31" s="9">
        <v>400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>
        <v>67</v>
      </c>
      <c r="U31" s="1">
        <v>53</v>
      </c>
      <c r="V31" s="1"/>
      <c r="W31" s="1"/>
      <c r="X31" s="1"/>
      <c r="Y31" s="1"/>
      <c r="Z31" s="1">
        <v>57</v>
      </c>
      <c r="AA31" s="1">
        <v>58</v>
      </c>
      <c r="AB31" s="1"/>
      <c r="AC31" s="1"/>
      <c r="AD31" s="1"/>
      <c r="AE31" s="1"/>
      <c r="AF31" s="1">
        <v>61</v>
      </c>
      <c r="AG31" s="1">
        <v>56</v>
      </c>
      <c r="AH31" s="1"/>
      <c r="AI31" s="5">
        <v>58</v>
      </c>
      <c r="AJ31" s="5">
        <v>32</v>
      </c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23.67</v>
      </c>
      <c r="BA31" s="5">
        <v>3.61</v>
      </c>
      <c r="BB31" s="1"/>
    </row>
    <row r="32" spans="1:54" x14ac:dyDescent="0.25">
      <c r="A32" s="1" t="s">
        <v>31</v>
      </c>
      <c r="B32" s="1" t="s">
        <v>198</v>
      </c>
      <c r="C32" s="1">
        <v>38</v>
      </c>
      <c r="D32" s="1">
        <v>800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>
        <v>50</v>
      </c>
      <c r="U32" s="1">
        <v>41</v>
      </c>
      <c r="V32" s="1"/>
      <c r="W32" s="1"/>
      <c r="X32" s="1"/>
      <c r="Y32" s="1"/>
      <c r="Z32" s="1">
        <v>60</v>
      </c>
      <c r="AA32" s="1">
        <v>40</v>
      </c>
      <c r="AB32" s="1">
        <v>29</v>
      </c>
      <c r="AC32" s="1"/>
      <c r="AD32" s="1"/>
      <c r="AE32" s="1"/>
      <c r="AF32" s="1"/>
      <c r="AG32" s="1"/>
      <c r="AH32" s="1"/>
      <c r="AI32" s="5">
        <v>43</v>
      </c>
      <c r="AJ32" s="5">
        <v>47</v>
      </c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42.77</v>
      </c>
      <c r="BA32" s="5">
        <v>1.0699999999999999E-2</v>
      </c>
      <c r="BB32" s="1">
        <v>1.0699999999999999E-2</v>
      </c>
    </row>
    <row r="33" spans="1:54" x14ac:dyDescent="0.25">
      <c r="A33" s="1" t="s">
        <v>32</v>
      </c>
      <c r="B33" s="1" t="s">
        <v>198</v>
      </c>
      <c r="C33" s="1">
        <v>38</v>
      </c>
      <c r="D33" s="1">
        <v>800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>
        <v>47</v>
      </c>
      <c r="U33" s="1">
        <v>41</v>
      </c>
      <c r="V33" s="1"/>
      <c r="W33" s="1"/>
      <c r="X33" s="1"/>
      <c r="Y33" s="1"/>
      <c r="Z33" s="1">
        <v>55</v>
      </c>
      <c r="AA33" s="1">
        <v>43</v>
      </c>
      <c r="AB33" s="1">
        <v>29</v>
      </c>
      <c r="AC33" s="1"/>
      <c r="AD33" s="1"/>
      <c r="AE33" s="1"/>
      <c r="AF33" s="1"/>
      <c r="AG33" s="1"/>
      <c r="AH33" s="1"/>
      <c r="AI33" s="5">
        <v>42.333333333333336</v>
      </c>
      <c r="AJ33" s="5">
        <v>47.666666666666664</v>
      </c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17.93</v>
      </c>
      <c r="BA33" s="5">
        <v>8.0999999999999996E-3</v>
      </c>
      <c r="BB33" s="1">
        <v>8.0999999999999996E-3</v>
      </c>
    </row>
    <row r="34" spans="1:54" x14ac:dyDescent="0.25">
      <c r="A34" s="1" t="s">
        <v>33</v>
      </c>
      <c r="B34" s="1" t="s">
        <v>198</v>
      </c>
      <c r="C34" s="1">
        <v>38</v>
      </c>
      <c r="D34" s="1">
        <v>800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>
        <v>53</v>
      </c>
      <c r="U34" s="1">
        <v>42</v>
      </c>
      <c r="V34" s="1"/>
      <c r="W34" s="1"/>
      <c r="X34" s="1"/>
      <c r="Y34" s="1"/>
      <c r="Z34" s="1">
        <v>64</v>
      </c>
      <c r="AA34" s="1">
        <v>34</v>
      </c>
      <c r="AB34" s="1">
        <v>25</v>
      </c>
      <c r="AC34" s="1"/>
      <c r="AD34" s="1"/>
      <c r="AE34" s="1"/>
      <c r="AF34" s="1"/>
      <c r="AG34" s="1"/>
      <c r="AH34" s="1"/>
      <c r="AI34" s="5">
        <v>41</v>
      </c>
      <c r="AJ34" s="5">
        <v>49</v>
      </c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25.24</v>
      </c>
      <c r="BA34" s="5">
        <v>8.6999999999999994E-3</v>
      </c>
      <c r="BB34" s="1">
        <v>8.6999999999999994E-3</v>
      </c>
    </row>
    <row r="35" spans="1:54" x14ac:dyDescent="0.25">
      <c r="A35" s="1" t="s">
        <v>34</v>
      </c>
      <c r="B35" s="1" t="s">
        <v>198</v>
      </c>
      <c r="C35" s="1">
        <v>38</v>
      </c>
      <c r="D35" s="1">
        <v>800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>
        <v>51</v>
      </c>
      <c r="U35" s="1">
        <v>41</v>
      </c>
      <c r="V35" s="1"/>
      <c r="W35" s="1"/>
      <c r="X35" s="1"/>
      <c r="Y35" s="1"/>
      <c r="Z35" s="1">
        <v>46</v>
      </c>
      <c r="AA35" s="1">
        <v>37</v>
      </c>
      <c r="AB35" s="1">
        <v>27</v>
      </c>
      <c r="AC35" s="1"/>
      <c r="AD35" s="1"/>
      <c r="AE35" s="1"/>
      <c r="AF35" s="1"/>
      <c r="AG35" s="1"/>
      <c r="AH35" s="1"/>
      <c r="AI35" s="5">
        <v>36.666666666666664</v>
      </c>
      <c r="AJ35" s="5">
        <v>53.333333333333336</v>
      </c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47.82</v>
      </c>
      <c r="BA35" s="5">
        <v>1.06E-2</v>
      </c>
      <c r="BB35" s="1">
        <v>1.06E-2</v>
      </c>
    </row>
    <row r="36" spans="1:54" x14ac:dyDescent="0.25">
      <c r="A36" s="1" t="s">
        <v>35</v>
      </c>
      <c r="B36" s="1" t="s">
        <v>198</v>
      </c>
      <c r="C36" s="1">
        <v>30</v>
      </c>
      <c r="D36" s="1">
        <v>400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>
        <v>59</v>
      </c>
      <c r="U36" s="1">
        <v>56</v>
      </c>
      <c r="V36" s="1"/>
      <c r="W36" s="1"/>
      <c r="X36" s="1"/>
      <c r="Y36" s="1"/>
      <c r="Z36" s="1">
        <v>68</v>
      </c>
      <c r="AA36" s="1">
        <v>61</v>
      </c>
      <c r="AB36" s="1">
        <v>44</v>
      </c>
      <c r="AC36" s="1"/>
      <c r="AD36" s="1"/>
      <c r="AE36" s="1"/>
      <c r="AF36" s="1"/>
      <c r="AG36" s="1"/>
      <c r="AH36" s="1"/>
      <c r="AI36" s="5">
        <v>57.666666666666664</v>
      </c>
      <c r="AJ36" s="5">
        <v>32.333333333333336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19.04</v>
      </c>
      <c r="BA36" s="5">
        <v>7.9000000000000008E-3</v>
      </c>
      <c r="BB36" s="1">
        <v>7.9000000000000008E-3</v>
      </c>
    </row>
    <row r="37" spans="1:54" x14ac:dyDescent="0.25">
      <c r="A37" s="1" t="s">
        <v>36</v>
      </c>
      <c r="B37" s="1" t="s">
        <v>198</v>
      </c>
      <c r="C37" s="1">
        <v>30</v>
      </c>
      <c r="D37" s="1">
        <v>400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>
        <v>61</v>
      </c>
      <c r="U37" s="1">
        <v>60</v>
      </c>
      <c r="V37" s="1"/>
      <c r="W37" s="1"/>
      <c r="X37" s="1"/>
      <c r="Y37" s="1"/>
      <c r="Z37" s="1">
        <v>71</v>
      </c>
      <c r="AA37" s="1">
        <v>56</v>
      </c>
      <c r="AB37" s="1">
        <v>41</v>
      </c>
      <c r="AC37" s="1"/>
      <c r="AD37" s="1"/>
      <c r="AE37" s="1"/>
      <c r="AF37" s="1"/>
      <c r="AG37" s="1"/>
      <c r="AH37" s="1"/>
      <c r="AI37" s="5">
        <v>56</v>
      </c>
      <c r="AJ37" s="5">
        <v>34</v>
      </c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19.73</v>
      </c>
      <c r="BA37" s="5">
        <v>9.1999999999999998E-3</v>
      </c>
      <c r="BB37" s="1">
        <v>9.1999999999999998E-3</v>
      </c>
    </row>
    <row r="38" spans="1:54" x14ac:dyDescent="0.25">
      <c r="A38" s="1" t="s">
        <v>37</v>
      </c>
      <c r="B38" s="1" t="s">
        <v>198</v>
      </c>
      <c r="C38" s="1">
        <v>30</v>
      </c>
      <c r="D38" s="1">
        <v>400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>
        <v>56</v>
      </c>
      <c r="U38" s="1">
        <v>51</v>
      </c>
      <c r="V38" s="1"/>
      <c r="W38" s="1"/>
      <c r="X38" s="1"/>
      <c r="Y38" s="1"/>
      <c r="Z38" s="1">
        <v>64</v>
      </c>
      <c r="AA38" s="1">
        <v>55</v>
      </c>
      <c r="AB38" s="1">
        <v>46</v>
      </c>
      <c r="AC38" s="1"/>
      <c r="AD38" s="1"/>
      <c r="AE38" s="1"/>
      <c r="AF38" s="1"/>
      <c r="AG38" s="1"/>
      <c r="AH38" s="1"/>
      <c r="AI38" s="5">
        <v>55</v>
      </c>
      <c r="AJ38" s="5">
        <v>35</v>
      </c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32.840000000000003</v>
      </c>
      <c r="BA38" s="5">
        <v>7.7000000000000002E-3</v>
      </c>
      <c r="BB38" s="1">
        <v>7.7000000000000002E-3</v>
      </c>
    </row>
    <row r="39" spans="1:54" x14ac:dyDescent="0.25">
      <c r="A39" s="1" t="s">
        <v>38</v>
      </c>
      <c r="B39" s="1" t="s">
        <v>198</v>
      </c>
      <c r="C39" s="1">
        <v>30</v>
      </c>
      <c r="D39" s="1">
        <v>400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1"/>
    </row>
    <row r="40" spans="1:54" x14ac:dyDescent="0.25">
      <c r="A40" s="1" t="s">
        <v>39</v>
      </c>
      <c r="B40" s="1" t="s">
        <v>198</v>
      </c>
      <c r="C40" s="1">
        <v>38</v>
      </c>
      <c r="D40" s="1">
        <v>400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>
        <v>43</v>
      </c>
      <c r="U40" s="1">
        <v>45</v>
      </c>
      <c r="V40" s="1"/>
      <c r="W40" s="1"/>
      <c r="X40" s="1"/>
      <c r="Y40" s="1"/>
      <c r="Z40" s="1">
        <v>59</v>
      </c>
      <c r="AA40" s="1">
        <v>44</v>
      </c>
      <c r="AB40" s="1">
        <v>28</v>
      </c>
      <c r="AC40" s="1"/>
      <c r="AD40" s="1"/>
      <c r="AE40" s="1"/>
      <c r="AF40" s="1"/>
      <c r="AG40" s="1"/>
      <c r="AH40" s="1"/>
      <c r="AI40" s="5">
        <v>43.666666666666664</v>
      </c>
      <c r="AJ40" s="5">
        <v>46.333333333333336</v>
      </c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10.91</v>
      </c>
      <c r="BA40" s="5">
        <v>5.1000000000000004E-3</v>
      </c>
      <c r="BB40" s="1">
        <v>5.1000000000000004E-3</v>
      </c>
    </row>
    <row r="41" spans="1:54" x14ac:dyDescent="0.25">
      <c r="A41" s="1" t="s">
        <v>40</v>
      </c>
      <c r="B41" s="1" t="s">
        <v>198</v>
      </c>
      <c r="C41" s="1">
        <v>38</v>
      </c>
      <c r="D41" s="1">
        <v>400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>
        <v>59</v>
      </c>
      <c r="U41" s="1">
        <v>50</v>
      </c>
      <c r="V41" s="1"/>
      <c r="W41" s="1"/>
      <c r="X41" s="1"/>
      <c r="Y41" s="1"/>
      <c r="Z41" s="1">
        <v>65</v>
      </c>
      <c r="AA41" s="1">
        <v>47</v>
      </c>
      <c r="AB41" s="1">
        <v>32</v>
      </c>
      <c r="AC41" s="1"/>
      <c r="AD41" s="1"/>
      <c r="AE41" s="1"/>
      <c r="AF41" s="1"/>
      <c r="AG41" s="1"/>
      <c r="AH41" s="1"/>
      <c r="AI41" s="5">
        <v>48</v>
      </c>
      <c r="AJ41" s="5">
        <v>42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25.78</v>
      </c>
      <c r="BA41" s="5">
        <v>8.6999999999999994E-3</v>
      </c>
      <c r="BB41" s="1">
        <v>8.6999999999999994E-3</v>
      </c>
    </row>
    <row r="42" spans="1:54" x14ac:dyDescent="0.25">
      <c r="A42" s="1" t="s">
        <v>41</v>
      </c>
      <c r="B42" s="1" t="s">
        <v>198</v>
      </c>
      <c r="C42" s="1">
        <v>38</v>
      </c>
      <c r="D42" s="1">
        <v>400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>
        <v>46</v>
      </c>
      <c r="U42" s="1">
        <v>39</v>
      </c>
      <c r="V42" s="1"/>
      <c r="W42" s="1"/>
      <c r="X42" s="1"/>
      <c r="Y42" s="1"/>
      <c r="Z42" s="1">
        <v>45</v>
      </c>
      <c r="AA42" s="1">
        <v>39</v>
      </c>
      <c r="AB42" s="1">
        <v>28</v>
      </c>
      <c r="AC42" s="1"/>
      <c r="AD42" s="1"/>
      <c r="AE42" s="1"/>
      <c r="AF42" s="1"/>
      <c r="AG42" s="1"/>
      <c r="AH42" s="1"/>
      <c r="AI42" s="5">
        <v>37.333333333333336</v>
      </c>
      <c r="AJ42" s="5">
        <v>52.666666666666664</v>
      </c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14.66</v>
      </c>
      <c r="BA42" s="5">
        <v>6.3E-3</v>
      </c>
      <c r="BB42" s="1">
        <v>6.3E-3</v>
      </c>
    </row>
    <row r="43" spans="1:54" x14ac:dyDescent="0.25">
      <c r="A43" s="1" t="s">
        <v>42</v>
      </c>
      <c r="B43" s="1" t="s">
        <v>198</v>
      </c>
      <c r="C43" s="1">
        <v>38</v>
      </c>
      <c r="D43" s="1">
        <v>400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>
        <v>49</v>
      </c>
      <c r="U43" s="1">
        <v>56</v>
      </c>
      <c r="V43" s="1"/>
      <c r="W43" s="1"/>
      <c r="X43" s="1"/>
      <c r="Y43" s="1"/>
      <c r="Z43" s="1">
        <v>56</v>
      </c>
      <c r="AA43" s="1">
        <v>54</v>
      </c>
      <c r="AB43" s="1">
        <v>32</v>
      </c>
      <c r="AC43" s="1"/>
      <c r="AD43" s="1"/>
      <c r="AE43" s="1"/>
      <c r="AF43" s="1"/>
      <c r="AG43" s="1"/>
      <c r="AH43" s="1"/>
      <c r="AI43" s="5">
        <v>47.333333333333336</v>
      </c>
      <c r="AJ43" s="5">
        <v>42.666666666666664</v>
      </c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25.65</v>
      </c>
      <c r="BA43" s="5">
        <v>8.8999999999999999E-3</v>
      </c>
      <c r="BB43" s="1">
        <v>8.8999999999999999E-3</v>
      </c>
    </row>
    <row r="44" spans="1:54" x14ac:dyDescent="0.25">
      <c r="A44" s="1" t="s">
        <v>43</v>
      </c>
      <c r="B44" s="1" t="s">
        <v>198</v>
      </c>
      <c r="C44" s="1">
        <v>30</v>
      </c>
      <c r="D44" s="1">
        <v>800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>
        <v>67</v>
      </c>
      <c r="U44" s="1">
        <v>56</v>
      </c>
      <c r="V44" s="1"/>
      <c r="W44" s="1"/>
      <c r="X44" s="1"/>
      <c r="Y44" s="1"/>
      <c r="Z44" s="1">
        <v>59</v>
      </c>
      <c r="AA44" s="1">
        <v>54</v>
      </c>
      <c r="AB44" s="1">
        <v>46</v>
      </c>
      <c r="AC44" s="1"/>
      <c r="AD44" s="1"/>
      <c r="AE44" s="1"/>
      <c r="AF44" s="1"/>
      <c r="AG44" s="1"/>
      <c r="AH44" s="1"/>
      <c r="AI44" s="5">
        <v>53</v>
      </c>
      <c r="AJ44" s="5">
        <v>37</v>
      </c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32.26</v>
      </c>
      <c r="BA44" s="5">
        <v>1.1599999999999999E-2</v>
      </c>
      <c r="BB44" s="1">
        <v>1.1599999999999999E-2</v>
      </c>
    </row>
    <row r="45" spans="1:54" x14ac:dyDescent="0.25">
      <c r="A45" s="1" t="s">
        <v>44</v>
      </c>
      <c r="B45" s="1" t="s">
        <v>198</v>
      </c>
      <c r="C45" s="1">
        <v>30</v>
      </c>
      <c r="D45" s="1">
        <v>800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>
        <v>65</v>
      </c>
      <c r="U45" s="1">
        <v>50</v>
      </c>
      <c r="V45" s="1"/>
      <c r="W45" s="1"/>
      <c r="X45" s="1"/>
      <c r="Y45" s="1"/>
      <c r="Z45" s="1">
        <v>62</v>
      </c>
      <c r="AA45" s="1">
        <v>59</v>
      </c>
      <c r="AB45" s="1">
        <v>43</v>
      </c>
      <c r="AC45" s="1"/>
      <c r="AD45" s="1"/>
      <c r="AE45" s="1"/>
      <c r="AF45" s="1"/>
      <c r="AG45" s="1"/>
      <c r="AH45" s="1"/>
      <c r="AI45" s="5">
        <v>54.666666666666664</v>
      </c>
      <c r="AJ45" s="5">
        <v>35.333333333333336</v>
      </c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7.16</v>
      </c>
      <c r="BA45" s="5">
        <v>0.01</v>
      </c>
      <c r="BB45" s="1">
        <v>0.01</v>
      </c>
    </row>
    <row r="46" spans="1:54" x14ac:dyDescent="0.25">
      <c r="A46" s="1" t="s">
        <v>45</v>
      </c>
      <c r="B46" s="1" t="s">
        <v>198</v>
      </c>
      <c r="C46" s="1">
        <v>30</v>
      </c>
      <c r="D46" s="1">
        <v>800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>
        <v>64</v>
      </c>
      <c r="U46" s="1">
        <v>50</v>
      </c>
      <c r="V46" s="1"/>
      <c r="W46" s="1"/>
      <c r="X46" s="1"/>
      <c r="Y46" s="1"/>
      <c r="Z46" s="1">
        <v>61</v>
      </c>
      <c r="AA46" s="1">
        <v>57</v>
      </c>
      <c r="AB46" s="1">
        <v>49</v>
      </c>
      <c r="AC46" s="1"/>
      <c r="AD46" s="1"/>
      <c r="AE46" s="1"/>
      <c r="AF46" s="1"/>
      <c r="AG46" s="1"/>
      <c r="AH46" s="1"/>
      <c r="AI46" s="5">
        <v>55.666666666666664</v>
      </c>
      <c r="AJ46" s="5">
        <v>34.333333333333336</v>
      </c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18.88</v>
      </c>
      <c r="BA46" s="5">
        <v>9.5999999999999992E-3</v>
      </c>
      <c r="BB46" s="1">
        <v>9.5999999999999992E-3</v>
      </c>
    </row>
    <row r="47" spans="1:54" x14ac:dyDescent="0.25">
      <c r="A47" s="1" t="s">
        <v>46</v>
      </c>
      <c r="B47" s="1" t="s">
        <v>198</v>
      </c>
      <c r="C47" s="1">
        <v>30</v>
      </c>
      <c r="D47" s="1">
        <v>800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>
        <v>62</v>
      </c>
      <c r="U47" s="1">
        <v>54</v>
      </c>
      <c r="V47" s="1"/>
      <c r="W47" s="1"/>
      <c r="X47" s="1"/>
      <c r="Y47" s="1"/>
      <c r="Z47" s="1">
        <v>62</v>
      </c>
      <c r="AA47" s="1">
        <v>53</v>
      </c>
      <c r="AB47" s="1">
        <v>45</v>
      </c>
      <c r="AC47" s="1"/>
      <c r="AD47" s="1"/>
      <c r="AE47" s="1"/>
      <c r="AF47" s="1"/>
      <c r="AG47" s="1"/>
      <c r="AH47" s="1"/>
      <c r="AI47" s="5">
        <v>53.333333333333336</v>
      </c>
      <c r="AJ47" s="5">
        <v>36.666666666666664</v>
      </c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32.22</v>
      </c>
      <c r="BA47" s="5">
        <v>1.0699999999999999E-2</v>
      </c>
      <c r="BB47" s="1">
        <v>1.0699999999999999E-2</v>
      </c>
    </row>
    <row r="48" spans="1:54" x14ac:dyDescent="0.25">
      <c r="A48" s="1" t="s">
        <v>47</v>
      </c>
      <c r="B48" s="1" t="s">
        <v>199</v>
      </c>
      <c r="C48" s="1">
        <v>38</v>
      </c>
      <c r="D48" s="1">
        <v>800</v>
      </c>
      <c r="E48" s="1">
        <v>45</v>
      </c>
      <c r="F48" s="1">
        <v>45</v>
      </c>
      <c r="G48" s="1"/>
      <c r="H48" s="1"/>
      <c r="I48" s="1"/>
      <c r="J48" s="1"/>
      <c r="K48" s="1">
        <v>42</v>
      </c>
      <c r="L48" s="1">
        <v>60</v>
      </c>
      <c r="M48" s="1"/>
      <c r="N48" s="1"/>
      <c r="O48" s="1"/>
      <c r="P48" s="1"/>
      <c r="Q48" s="1"/>
      <c r="R48" s="1"/>
      <c r="S48" s="1"/>
      <c r="T48" s="1">
        <v>60</v>
      </c>
      <c r="U48" s="1">
        <v>57</v>
      </c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5">
        <v>54.75</v>
      </c>
      <c r="AJ48" s="5">
        <v>35.25</v>
      </c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1"/>
    </row>
    <row r="49" spans="1:54" x14ac:dyDescent="0.25">
      <c r="A49" s="1" t="s">
        <v>48</v>
      </c>
      <c r="B49" s="1" t="s">
        <v>199</v>
      </c>
      <c r="C49" s="1">
        <v>38</v>
      </c>
      <c r="D49" s="1">
        <v>800</v>
      </c>
      <c r="E49" s="1">
        <v>30</v>
      </c>
      <c r="F49" s="1">
        <v>65</v>
      </c>
      <c r="G49" s="1"/>
      <c r="H49" s="1"/>
      <c r="I49" s="1"/>
      <c r="J49" s="1"/>
      <c r="K49" s="1">
        <v>50</v>
      </c>
      <c r="L49" s="1">
        <v>55</v>
      </c>
      <c r="M49" s="1"/>
      <c r="N49" s="1"/>
      <c r="O49" s="1"/>
      <c r="P49" s="1"/>
      <c r="Q49" s="1"/>
      <c r="R49" s="1"/>
      <c r="S49" s="1"/>
      <c r="T49" s="1">
        <v>47</v>
      </c>
      <c r="U49" s="1">
        <v>59</v>
      </c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5">
        <v>52.75</v>
      </c>
      <c r="AJ49" s="5">
        <v>37.25</v>
      </c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1"/>
    </row>
    <row r="50" spans="1:54" x14ac:dyDescent="0.25">
      <c r="A50" s="1" t="s">
        <v>49</v>
      </c>
      <c r="B50" s="1" t="s">
        <v>199</v>
      </c>
      <c r="C50" s="1">
        <v>38</v>
      </c>
      <c r="D50" s="1">
        <v>800</v>
      </c>
      <c r="E50" s="1">
        <v>48</v>
      </c>
      <c r="F50" s="1">
        <v>40</v>
      </c>
      <c r="G50" s="1"/>
      <c r="H50" s="1"/>
      <c r="I50" s="1"/>
      <c r="J50" s="1"/>
      <c r="K50" s="1">
        <v>47</v>
      </c>
      <c r="L50" s="1">
        <v>54</v>
      </c>
      <c r="M50" s="1"/>
      <c r="N50" s="1"/>
      <c r="O50" s="1"/>
      <c r="P50" s="1"/>
      <c r="Q50" s="1"/>
      <c r="R50" s="1"/>
      <c r="S50" s="1"/>
      <c r="T50" s="1">
        <v>50</v>
      </c>
      <c r="U50" s="1">
        <v>55</v>
      </c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5">
        <v>51.5</v>
      </c>
      <c r="AJ50" s="5">
        <v>38.5</v>
      </c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1"/>
    </row>
    <row r="51" spans="1:54" x14ac:dyDescent="0.25">
      <c r="A51" s="1" t="s">
        <v>50</v>
      </c>
      <c r="B51" s="1" t="s">
        <v>199</v>
      </c>
      <c r="C51" s="1">
        <v>38</v>
      </c>
      <c r="D51" s="1">
        <v>800</v>
      </c>
      <c r="E51" s="1">
        <v>36</v>
      </c>
      <c r="F51" s="1">
        <v>52</v>
      </c>
      <c r="G51" s="1"/>
      <c r="H51" s="1"/>
      <c r="I51" s="1"/>
      <c r="J51" s="1"/>
      <c r="K51" s="1">
        <v>56</v>
      </c>
      <c r="L51" s="1">
        <v>58</v>
      </c>
      <c r="M51" s="1"/>
      <c r="N51" s="1"/>
      <c r="O51" s="1"/>
      <c r="P51" s="1"/>
      <c r="Q51" s="1"/>
      <c r="R51" s="1"/>
      <c r="S51" s="1"/>
      <c r="T51" s="1">
        <v>64</v>
      </c>
      <c r="U51" s="1">
        <v>70</v>
      </c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5">
        <v>62</v>
      </c>
      <c r="AJ51" s="5">
        <v>28</v>
      </c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1"/>
    </row>
    <row r="52" spans="1:54" x14ac:dyDescent="0.25">
      <c r="A52" s="1" t="s">
        <v>51</v>
      </c>
      <c r="B52" s="1" t="s">
        <v>199</v>
      </c>
      <c r="C52" s="1">
        <v>38</v>
      </c>
      <c r="D52" s="1">
        <v>800</v>
      </c>
      <c r="E52" s="1">
        <v>52</v>
      </c>
      <c r="F52" s="1">
        <v>38</v>
      </c>
      <c r="G52" s="1"/>
      <c r="H52" s="1"/>
      <c r="I52" s="1"/>
      <c r="J52" s="1"/>
      <c r="K52" s="1">
        <v>64</v>
      </c>
      <c r="L52" s="1">
        <v>59</v>
      </c>
      <c r="M52" s="1"/>
      <c r="N52" s="1"/>
      <c r="O52" s="1"/>
      <c r="P52" s="1"/>
      <c r="Q52" s="1"/>
      <c r="R52" s="1"/>
      <c r="S52" s="1"/>
      <c r="T52" s="1">
        <v>56</v>
      </c>
      <c r="U52" s="1">
        <v>55</v>
      </c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5">
        <v>58.5</v>
      </c>
      <c r="AJ52" s="5">
        <v>31.5</v>
      </c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1"/>
    </row>
    <row r="53" spans="1:54" x14ac:dyDescent="0.25">
      <c r="A53" s="1" t="s">
        <v>52</v>
      </c>
      <c r="B53" s="1" t="s">
        <v>199</v>
      </c>
      <c r="C53" s="1">
        <v>38</v>
      </c>
      <c r="D53" s="1">
        <v>800</v>
      </c>
      <c r="E53" s="1">
        <v>30</v>
      </c>
      <c r="F53" s="1">
        <v>36</v>
      </c>
      <c r="G53" s="1"/>
      <c r="H53" s="1"/>
      <c r="I53" s="1"/>
      <c r="J53" s="1"/>
      <c r="K53" s="1">
        <v>46</v>
      </c>
      <c r="L53" s="1">
        <v>72</v>
      </c>
      <c r="M53" s="1"/>
      <c r="N53" s="1"/>
      <c r="O53" s="1"/>
      <c r="P53" s="1"/>
      <c r="Q53" s="1"/>
      <c r="R53" s="1"/>
      <c r="S53" s="1"/>
      <c r="T53" s="1">
        <v>52</v>
      </c>
      <c r="U53" s="1">
        <v>58</v>
      </c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5">
        <v>57</v>
      </c>
      <c r="AJ53" s="5">
        <v>33</v>
      </c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1"/>
    </row>
    <row r="54" spans="1:54" x14ac:dyDescent="0.25">
      <c r="A54" s="1" t="s">
        <v>53</v>
      </c>
      <c r="B54" s="1" t="s">
        <v>199</v>
      </c>
      <c r="C54" s="1">
        <v>38</v>
      </c>
      <c r="D54" s="1">
        <v>400</v>
      </c>
      <c r="E54" s="1">
        <v>40</v>
      </c>
      <c r="F54" s="1">
        <v>50</v>
      </c>
      <c r="G54" s="1"/>
      <c r="H54" s="1"/>
      <c r="I54" s="1"/>
      <c r="J54" s="1"/>
      <c r="K54" s="1">
        <v>45</v>
      </c>
      <c r="L54" s="1">
        <v>54</v>
      </c>
      <c r="M54" s="1"/>
      <c r="N54" s="1"/>
      <c r="O54" s="1"/>
      <c r="P54" s="1"/>
      <c r="Q54" s="1"/>
      <c r="R54" s="1"/>
      <c r="S54" s="1"/>
      <c r="T54" s="1">
        <v>66</v>
      </c>
      <c r="U54" s="1">
        <v>49</v>
      </c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5">
        <v>53.5</v>
      </c>
      <c r="AJ54" s="5">
        <v>36.5</v>
      </c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1"/>
    </row>
    <row r="55" spans="1:54" x14ac:dyDescent="0.25">
      <c r="A55" s="1" t="s">
        <v>54</v>
      </c>
      <c r="B55" s="1" t="s">
        <v>199</v>
      </c>
      <c r="C55" s="1">
        <v>38</v>
      </c>
      <c r="D55" s="1">
        <v>400</v>
      </c>
      <c r="E55" s="1">
        <v>47</v>
      </c>
      <c r="F55" s="1">
        <v>48</v>
      </c>
      <c r="G55" s="1"/>
      <c r="H55" s="1"/>
      <c r="I55" s="1"/>
      <c r="J55" s="1"/>
      <c r="K55" s="1">
        <v>75</v>
      </c>
      <c r="L55" s="1">
        <v>62</v>
      </c>
      <c r="M55" s="1"/>
      <c r="N55" s="1"/>
      <c r="O55" s="1"/>
      <c r="P55" s="1"/>
      <c r="Q55" s="1"/>
      <c r="R55" s="1"/>
      <c r="S55" s="1"/>
      <c r="T55" s="1">
        <v>52</v>
      </c>
      <c r="U55" s="1">
        <v>63</v>
      </c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5">
        <v>63</v>
      </c>
      <c r="AJ55" s="5">
        <v>27</v>
      </c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1"/>
    </row>
    <row r="56" spans="1:54" x14ac:dyDescent="0.25">
      <c r="A56" s="1" t="s">
        <v>55</v>
      </c>
      <c r="B56" s="1" t="s">
        <v>199</v>
      </c>
      <c r="C56" s="1">
        <v>38</v>
      </c>
      <c r="D56" s="1">
        <v>400</v>
      </c>
      <c r="E56" s="1">
        <v>32</v>
      </c>
      <c r="F56" s="1">
        <v>39</v>
      </c>
      <c r="G56" s="1"/>
      <c r="H56" s="1"/>
      <c r="I56" s="1"/>
      <c r="J56" s="1"/>
      <c r="K56" s="1">
        <v>58</v>
      </c>
      <c r="L56" s="1">
        <v>50</v>
      </c>
      <c r="M56" s="1"/>
      <c r="N56" s="1"/>
      <c r="O56" s="1"/>
      <c r="P56" s="1"/>
      <c r="Q56" s="1"/>
      <c r="R56" s="1"/>
      <c r="S56" s="1"/>
      <c r="T56" s="1">
        <v>54</v>
      </c>
      <c r="U56" s="1">
        <v>54</v>
      </c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5">
        <v>54</v>
      </c>
      <c r="AJ56" s="5">
        <v>36</v>
      </c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1"/>
    </row>
    <row r="57" spans="1:54" x14ac:dyDescent="0.25">
      <c r="A57" s="1" t="s">
        <v>56</v>
      </c>
      <c r="B57" s="1" t="s">
        <v>199</v>
      </c>
      <c r="C57" s="1">
        <v>38</v>
      </c>
      <c r="D57" s="1">
        <v>400</v>
      </c>
      <c r="E57" s="1">
        <v>45</v>
      </c>
      <c r="F57" s="1">
        <v>44</v>
      </c>
      <c r="G57" s="1"/>
      <c r="H57" s="1"/>
      <c r="I57" s="1"/>
      <c r="J57" s="1"/>
      <c r="K57" s="1">
        <v>44</v>
      </c>
      <c r="L57" s="1">
        <v>60</v>
      </c>
      <c r="M57" s="1"/>
      <c r="N57" s="1"/>
      <c r="O57" s="1"/>
      <c r="P57" s="1"/>
      <c r="Q57" s="1"/>
      <c r="R57" s="1"/>
      <c r="S57" s="1"/>
      <c r="T57" s="1">
        <v>65</v>
      </c>
      <c r="U57" s="1">
        <v>48</v>
      </c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5">
        <v>54.25</v>
      </c>
      <c r="AJ57" s="5">
        <v>35.75</v>
      </c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1"/>
    </row>
    <row r="58" spans="1:54" x14ac:dyDescent="0.25">
      <c r="A58" s="1" t="s">
        <v>57</v>
      </c>
      <c r="B58" s="1" t="s">
        <v>199</v>
      </c>
      <c r="C58" s="1">
        <v>38</v>
      </c>
      <c r="D58" s="1">
        <v>400</v>
      </c>
      <c r="E58" s="1">
        <v>47</v>
      </c>
      <c r="F58" s="1">
        <v>43</v>
      </c>
      <c r="G58" s="1"/>
      <c r="H58" s="1"/>
      <c r="I58" s="1"/>
      <c r="J58" s="1"/>
      <c r="K58" s="1">
        <v>55</v>
      </c>
      <c r="L58" s="1">
        <v>60</v>
      </c>
      <c r="M58" s="1"/>
      <c r="N58" s="1"/>
      <c r="O58" s="1"/>
      <c r="P58" s="1"/>
      <c r="Q58" s="1"/>
      <c r="R58" s="1"/>
      <c r="S58" s="1"/>
      <c r="T58" s="1">
        <v>71</v>
      </c>
      <c r="U58" s="1">
        <v>49</v>
      </c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5">
        <v>58.75</v>
      </c>
      <c r="AJ58" s="5">
        <v>31.25</v>
      </c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1"/>
    </row>
    <row r="59" spans="1:54" x14ac:dyDescent="0.25">
      <c r="A59" s="1" t="s">
        <v>58</v>
      </c>
      <c r="B59" s="1" t="s">
        <v>199</v>
      </c>
      <c r="C59" s="1">
        <v>38</v>
      </c>
      <c r="D59" s="1">
        <v>400</v>
      </c>
      <c r="E59" s="1">
        <v>43</v>
      </c>
      <c r="F59" s="1">
        <v>44</v>
      </c>
      <c r="G59" s="1"/>
      <c r="H59" s="1"/>
      <c r="I59" s="1"/>
      <c r="J59" s="1"/>
      <c r="K59" s="1">
        <v>60</v>
      </c>
      <c r="L59" s="1">
        <v>48</v>
      </c>
      <c r="M59" s="1"/>
      <c r="N59" s="1"/>
      <c r="O59" s="1"/>
      <c r="P59" s="1"/>
      <c r="Q59" s="1"/>
      <c r="R59" s="1"/>
      <c r="S59" s="1"/>
      <c r="T59" s="1">
        <v>64</v>
      </c>
      <c r="U59" s="1">
        <v>49</v>
      </c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5">
        <v>55.25</v>
      </c>
      <c r="AJ59" s="5">
        <v>34.75</v>
      </c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1"/>
    </row>
    <row r="60" spans="1:54" x14ac:dyDescent="0.25">
      <c r="A60" s="1" t="s">
        <v>59</v>
      </c>
      <c r="B60" s="1" t="s">
        <v>199</v>
      </c>
      <c r="C60" s="1">
        <v>30</v>
      </c>
      <c r="D60" s="1">
        <v>800</v>
      </c>
      <c r="E60" s="1">
        <v>32</v>
      </c>
      <c r="F60" s="1">
        <v>34</v>
      </c>
      <c r="G60" s="1"/>
      <c r="H60" s="1"/>
      <c r="I60" s="1"/>
      <c r="J60" s="1"/>
      <c r="K60" s="1">
        <v>40</v>
      </c>
      <c r="L60" s="1">
        <v>43</v>
      </c>
      <c r="M60" s="1"/>
      <c r="N60" s="1"/>
      <c r="O60" s="1"/>
      <c r="P60" s="1"/>
      <c r="Q60" s="1"/>
      <c r="R60" s="1"/>
      <c r="S60" s="1"/>
      <c r="T60" s="1">
        <v>39</v>
      </c>
      <c r="U60" s="1">
        <v>46</v>
      </c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5">
        <v>42</v>
      </c>
      <c r="AJ60" s="5">
        <v>48</v>
      </c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1"/>
    </row>
    <row r="61" spans="1:54" x14ac:dyDescent="0.25">
      <c r="A61" s="1" t="s">
        <v>60</v>
      </c>
      <c r="B61" s="1" t="s">
        <v>199</v>
      </c>
      <c r="C61" s="1">
        <v>30</v>
      </c>
      <c r="D61" s="1">
        <v>800</v>
      </c>
      <c r="E61" s="1">
        <v>25</v>
      </c>
      <c r="F61" s="1">
        <v>32</v>
      </c>
      <c r="G61" s="1"/>
      <c r="H61" s="1"/>
      <c r="I61" s="1"/>
      <c r="J61" s="1"/>
      <c r="K61" s="1">
        <v>45</v>
      </c>
      <c r="L61" s="1">
        <v>56</v>
      </c>
      <c r="M61" s="1"/>
      <c r="N61" s="1"/>
      <c r="O61" s="1"/>
      <c r="P61" s="1"/>
      <c r="Q61" s="1"/>
      <c r="R61" s="1"/>
      <c r="S61" s="1"/>
      <c r="T61" s="1">
        <v>52</v>
      </c>
      <c r="U61" s="1">
        <v>38</v>
      </c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5">
        <v>47.75</v>
      </c>
      <c r="AJ61" s="5">
        <v>42.25</v>
      </c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1"/>
    </row>
    <row r="62" spans="1:54" x14ac:dyDescent="0.25">
      <c r="A62" s="1" t="s">
        <v>61</v>
      </c>
      <c r="B62" s="1" t="s">
        <v>199</v>
      </c>
      <c r="C62" s="1">
        <v>30</v>
      </c>
      <c r="D62" s="1">
        <v>800</v>
      </c>
      <c r="E62" s="1">
        <v>36</v>
      </c>
      <c r="F62" s="1">
        <v>40</v>
      </c>
      <c r="G62" s="1"/>
      <c r="H62" s="1"/>
      <c r="I62" s="1"/>
      <c r="J62" s="1"/>
      <c r="K62" s="1">
        <v>42</v>
      </c>
      <c r="L62" s="1">
        <v>53</v>
      </c>
      <c r="M62" s="1"/>
      <c r="N62" s="1"/>
      <c r="O62" s="1"/>
      <c r="P62" s="1"/>
      <c r="Q62" s="1"/>
      <c r="R62" s="1"/>
      <c r="S62" s="1"/>
      <c r="T62" s="1">
        <v>62</v>
      </c>
      <c r="U62" s="1">
        <v>59</v>
      </c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5">
        <v>54</v>
      </c>
      <c r="AJ62" s="5">
        <v>36</v>
      </c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1"/>
    </row>
    <row r="63" spans="1:54" x14ac:dyDescent="0.25">
      <c r="A63" s="1" t="s">
        <v>62</v>
      </c>
      <c r="B63" s="1" t="s">
        <v>199</v>
      </c>
      <c r="C63" s="1">
        <v>30</v>
      </c>
      <c r="D63" s="1">
        <v>800</v>
      </c>
      <c r="E63" s="1">
        <v>34</v>
      </c>
      <c r="F63" s="1">
        <v>31</v>
      </c>
      <c r="G63" s="1"/>
      <c r="H63" s="1"/>
      <c r="I63" s="1"/>
      <c r="J63" s="1"/>
      <c r="K63" s="1">
        <v>56</v>
      </c>
      <c r="L63" s="1">
        <v>62</v>
      </c>
      <c r="M63" s="1"/>
      <c r="N63" s="1"/>
      <c r="O63" s="1"/>
      <c r="P63" s="1"/>
      <c r="Q63" s="1"/>
      <c r="R63" s="1"/>
      <c r="S63" s="1"/>
      <c r="T63" s="1">
        <v>54</v>
      </c>
      <c r="U63" s="1">
        <v>46</v>
      </c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5">
        <v>54.5</v>
      </c>
      <c r="AJ63" s="5">
        <v>35.5</v>
      </c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1"/>
    </row>
    <row r="64" spans="1:54" x14ac:dyDescent="0.25">
      <c r="A64" s="1" t="s">
        <v>63</v>
      </c>
      <c r="B64" s="1" t="s">
        <v>199</v>
      </c>
      <c r="C64" s="1">
        <v>30</v>
      </c>
      <c r="D64" s="1">
        <v>800</v>
      </c>
      <c r="E64" s="1">
        <v>34</v>
      </c>
      <c r="F64" s="1">
        <v>45</v>
      </c>
      <c r="G64" s="1"/>
      <c r="H64" s="1"/>
      <c r="I64" s="1"/>
      <c r="J64" s="1"/>
      <c r="K64" s="1">
        <v>38</v>
      </c>
      <c r="L64" s="1">
        <v>42</v>
      </c>
      <c r="M64" s="1"/>
      <c r="N64" s="1"/>
      <c r="O64" s="1"/>
      <c r="P64" s="1"/>
      <c r="Q64" s="1"/>
      <c r="R64" s="1"/>
      <c r="S64" s="1"/>
      <c r="T64" s="1">
        <v>64</v>
      </c>
      <c r="U64" s="1">
        <v>56</v>
      </c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5">
        <v>50</v>
      </c>
      <c r="AJ64" s="5">
        <v>40</v>
      </c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1"/>
    </row>
    <row r="65" spans="1:54" x14ac:dyDescent="0.25">
      <c r="A65" s="1" t="s">
        <v>64</v>
      </c>
      <c r="B65" s="1" t="s">
        <v>199</v>
      </c>
      <c r="C65" s="1">
        <v>30</v>
      </c>
      <c r="D65" s="1">
        <v>800</v>
      </c>
      <c r="E65" s="1"/>
      <c r="F65" s="1"/>
      <c r="G65" s="1"/>
      <c r="H65" s="1"/>
      <c r="I65" s="1"/>
      <c r="J65" s="1"/>
      <c r="K65" s="1">
        <v>52</v>
      </c>
      <c r="L65" s="1">
        <v>45</v>
      </c>
      <c r="M65" s="1"/>
      <c r="N65" s="1"/>
      <c r="O65" s="1"/>
      <c r="P65" s="1"/>
      <c r="Q65" s="1"/>
      <c r="R65" s="1"/>
      <c r="S65" s="1"/>
      <c r="T65" s="1">
        <v>45</v>
      </c>
      <c r="U65" s="1">
        <v>40</v>
      </c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5">
        <v>45.5</v>
      </c>
      <c r="AJ65" s="5">
        <v>44.5</v>
      </c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1"/>
    </row>
    <row r="66" spans="1:54" x14ac:dyDescent="0.25">
      <c r="A66" s="1" t="s">
        <v>65</v>
      </c>
      <c r="B66" s="1" t="s">
        <v>199</v>
      </c>
      <c r="C66" s="1">
        <v>30</v>
      </c>
      <c r="D66" s="1">
        <v>400</v>
      </c>
      <c r="E66" s="1">
        <v>40</v>
      </c>
      <c r="F66" s="1">
        <v>60</v>
      </c>
      <c r="G66" s="1"/>
      <c r="H66" s="1"/>
      <c r="I66" s="1"/>
      <c r="J66" s="1"/>
      <c r="K66" s="1">
        <v>44</v>
      </c>
      <c r="L66" s="1">
        <v>70</v>
      </c>
      <c r="M66" s="1"/>
      <c r="N66" s="1"/>
      <c r="O66" s="1"/>
      <c r="P66" s="1"/>
      <c r="Q66" s="1"/>
      <c r="R66" s="1"/>
      <c r="S66" s="1"/>
      <c r="T66" s="1">
        <v>63</v>
      </c>
      <c r="U66" s="1">
        <v>65</v>
      </c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5">
        <v>60.5</v>
      </c>
      <c r="AJ66" s="5">
        <v>29.5</v>
      </c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1"/>
    </row>
    <row r="67" spans="1:54" x14ac:dyDescent="0.25">
      <c r="A67" s="1" t="s">
        <v>66</v>
      </c>
      <c r="B67" s="1" t="s">
        <v>199</v>
      </c>
      <c r="C67" s="1">
        <v>30</v>
      </c>
      <c r="D67" s="1">
        <v>400</v>
      </c>
      <c r="E67" s="1">
        <v>49</v>
      </c>
      <c r="F67" s="1">
        <v>41</v>
      </c>
      <c r="G67" s="1"/>
      <c r="H67" s="1"/>
      <c r="I67" s="1"/>
      <c r="J67" s="1"/>
      <c r="K67" s="1">
        <v>60</v>
      </c>
      <c r="L67" s="1">
        <v>58</v>
      </c>
      <c r="M67" s="1"/>
      <c r="N67" s="1"/>
      <c r="O67" s="1"/>
      <c r="P67" s="1"/>
      <c r="Q67" s="1"/>
      <c r="R67" s="1"/>
      <c r="S67" s="1"/>
      <c r="T67" s="1">
        <v>53</v>
      </c>
      <c r="U67" s="1">
        <v>65</v>
      </c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5">
        <v>59</v>
      </c>
      <c r="AJ67" s="5">
        <v>31</v>
      </c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1"/>
    </row>
    <row r="68" spans="1:54" x14ac:dyDescent="0.25">
      <c r="A68" s="1" t="s">
        <v>67</v>
      </c>
      <c r="B68" s="1" t="s">
        <v>199</v>
      </c>
      <c r="C68" s="1">
        <v>30</v>
      </c>
      <c r="D68" s="1">
        <v>400</v>
      </c>
      <c r="E68" s="1">
        <v>48</v>
      </c>
      <c r="F68" s="1">
        <v>42</v>
      </c>
      <c r="G68" s="1"/>
      <c r="H68" s="1"/>
      <c r="I68" s="1"/>
      <c r="J68" s="1"/>
      <c r="K68" s="1">
        <v>62</v>
      </c>
      <c r="L68" s="1">
        <v>56</v>
      </c>
      <c r="M68" s="1"/>
      <c r="N68" s="1"/>
      <c r="O68" s="1"/>
      <c r="P68" s="1"/>
      <c r="Q68" s="1"/>
      <c r="R68" s="1"/>
      <c r="S68" s="1"/>
      <c r="T68" s="1">
        <v>71</v>
      </c>
      <c r="U68" s="1">
        <v>65</v>
      </c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5">
        <v>63.5</v>
      </c>
      <c r="AJ68" s="5">
        <v>26.5</v>
      </c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1"/>
    </row>
    <row r="69" spans="1:54" x14ac:dyDescent="0.25">
      <c r="A69" s="1" t="s">
        <v>68</v>
      </c>
      <c r="B69" s="1" t="s">
        <v>199</v>
      </c>
      <c r="C69" s="1">
        <v>30</v>
      </c>
      <c r="D69" s="1">
        <v>400</v>
      </c>
      <c r="E69" s="1">
        <v>42</v>
      </c>
      <c r="F69" s="1">
        <v>33</v>
      </c>
      <c r="G69" s="1"/>
      <c r="H69" s="1"/>
      <c r="I69" s="1"/>
      <c r="J69" s="1"/>
      <c r="K69" s="1">
        <v>58</v>
      </c>
      <c r="L69" s="1">
        <v>54</v>
      </c>
      <c r="M69" s="1"/>
      <c r="N69" s="1"/>
      <c r="O69" s="1"/>
      <c r="P69" s="1"/>
      <c r="Q69" s="1"/>
      <c r="R69" s="1"/>
      <c r="S69" s="1"/>
      <c r="T69" s="1">
        <v>58</v>
      </c>
      <c r="U69" s="1">
        <v>55</v>
      </c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5">
        <v>56.25</v>
      </c>
      <c r="AJ69" s="5">
        <v>33.75</v>
      </c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1"/>
    </row>
    <row r="70" spans="1:54" x14ac:dyDescent="0.25">
      <c r="A70" s="1" t="s">
        <v>69</v>
      </c>
      <c r="B70" s="1" t="s">
        <v>199</v>
      </c>
      <c r="C70" s="1">
        <v>30</v>
      </c>
      <c r="D70" s="1">
        <v>400</v>
      </c>
      <c r="E70" s="1">
        <v>39</v>
      </c>
      <c r="F70" s="1">
        <v>48</v>
      </c>
      <c r="G70" s="1"/>
      <c r="H70" s="1"/>
      <c r="I70" s="1"/>
      <c r="J70" s="1"/>
      <c r="K70" s="1">
        <v>47</v>
      </c>
      <c r="L70" s="1">
        <v>58</v>
      </c>
      <c r="M70" s="1"/>
      <c r="N70" s="1"/>
      <c r="O70" s="1"/>
      <c r="P70" s="1"/>
      <c r="Q70" s="1"/>
      <c r="R70" s="1"/>
      <c r="S70" s="1"/>
      <c r="T70" s="1">
        <v>53</v>
      </c>
      <c r="U70" s="1">
        <v>57</v>
      </c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5">
        <v>53.75</v>
      </c>
      <c r="AJ70" s="5">
        <v>36.25</v>
      </c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1"/>
    </row>
    <row r="71" spans="1:54" x14ac:dyDescent="0.25">
      <c r="A71" s="1" t="s">
        <v>70</v>
      </c>
      <c r="B71" s="1" t="s">
        <v>199</v>
      </c>
      <c r="C71" s="1">
        <v>30</v>
      </c>
      <c r="D71" s="1">
        <v>400</v>
      </c>
      <c r="E71" s="1">
        <v>38</v>
      </c>
      <c r="F71" s="1">
        <v>48</v>
      </c>
      <c r="G71" s="1"/>
      <c r="H71" s="1"/>
      <c r="I71" s="1"/>
      <c r="J71" s="1"/>
      <c r="K71" s="9">
        <v>55</v>
      </c>
      <c r="L71" s="1">
        <v>57</v>
      </c>
      <c r="M71" s="1"/>
      <c r="N71" s="1"/>
      <c r="O71" s="1"/>
      <c r="P71" s="1"/>
      <c r="Q71" s="1"/>
      <c r="R71" s="1"/>
      <c r="S71" s="1"/>
      <c r="T71" s="1">
        <v>65</v>
      </c>
      <c r="U71" s="1">
        <v>56</v>
      </c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5">
        <v>58.25</v>
      </c>
      <c r="AJ71" s="5">
        <v>31.75</v>
      </c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1"/>
    </row>
    <row r="72" spans="1:54" x14ac:dyDescent="0.25">
      <c r="A72" s="1" t="s">
        <v>71</v>
      </c>
      <c r="B72" s="1" t="s">
        <v>200</v>
      </c>
      <c r="C72" s="1">
        <v>30</v>
      </c>
      <c r="D72" s="1">
        <v>400</v>
      </c>
      <c r="E72" s="1"/>
      <c r="F72" s="1"/>
      <c r="G72" s="1"/>
      <c r="H72" s="1">
        <v>92</v>
      </c>
      <c r="I72" s="1">
        <v>87</v>
      </c>
      <c r="J72" s="1">
        <v>85</v>
      </c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>
        <v>63</v>
      </c>
      <c r="AG72" s="1">
        <v>49</v>
      </c>
      <c r="AH72" s="1">
        <v>39</v>
      </c>
      <c r="AI72" s="5">
        <f>AVERAGE(AF72:AH72)</f>
        <v>50.333333333333336</v>
      </c>
      <c r="AJ72" s="5">
        <f>90-AI72</f>
        <v>39.666666666666664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>
        <v>10.81</v>
      </c>
      <c r="BB72" s="1">
        <v>0.01</v>
      </c>
    </row>
    <row r="73" spans="1:54" x14ac:dyDescent="0.25">
      <c r="A73" s="1" t="s">
        <v>72</v>
      </c>
      <c r="B73" s="1" t="s">
        <v>200</v>
      </c>
      <c r="C73" s="1">
        <v>30</v>
      </c>
      <c r="D73" s="1">
        <v>400</v>
      </c>
      <c r="E73" s="1"/>
      <c r="F73" s="1"/>
      <c r="G73" s="1"/>
      <c r="H73" s="1">
        <v>82</v>
      </c>
      <c r="I73" s="1">
        <v>75</v>
      </c>
      <c r="J73" s="1">
        <v>74</v>
      </c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>
        <v>65</v>
      </c>
      <c r="AG73" s="1">
        <v>53</v>
      </c>
      <c r="AH73" s="1">
        <v>34</v>
      </c>
      <c r="AI73" s="5">
        <f t="shared" ref="AI73:AI83" si="2">AVERAGE(AF73:AH73)</f>
        <v>50.666666666666664</v>
      </c>
      <c r="AJ73" s="5">
        <f t="shared" ref="AJ73:AJ83" si="3">90-AI73</f>
        <v>39.333333333333336</v>
      </c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>
        <v>10.77</v>
      </c>
      <c r="BB73" s="1">
        <v>1.06E-2</v>
      </c>
    </row>
    <row r="74" spans="1:54" x14ac:dyDescent="0.25">
      <c r="A74" s="1" t="s">
        <v>73</v>
      </c>
      <c r="B74" s="1" t="s">
        <v>200</v>
      </c>
      <c r="C74" s="1">
        <v>30</v>
      </c>
      <c r="D74" s="1">
        <v>400</v>
      </c>
      <c r="E74" s="1"/>
      <c r="F74" s="1"/>
      <c r="G74" s="1"/>
      <c r="H74" s="1">
        <v>78</v>
      </c>
      <c r="I74" s="1">
        <v>73</v>
      </c>
      <c r="J74" s="1">
        <v>68</v>
      </c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>
        <v>84</v>
      </c>
      <c r="AG74" s="1">
        <v>56</v>
      </c>
      <c r="AH74" s="1">
        <v>64</v>
      </c>
      <c r="AI74" s="5">
        <f t="shared" si="2"/>
        <v>68</v>
      </c>
      <c r="AJ74" s="5">
        <f t="shared" si="3"/>
        <v>22</v>
      </c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>
        <v>8.92</v>
      </c>
      <c r="BB74" s="1">
        <v>1.15E-2</v>
      </c>
    </row>
    <row r="75" spans="1:54" x14ac:dyDescent="0.25">
      <c r="A75" s="1" t="s">
        <v>74</v>
      </c>
      <c r="B75" s="1" t="s">
        <v>200</v>
      </c>
      <c r="C75" s="1">
        <v>37</v>
      </c>
      <c r="D75" s="1">
        <v>800</v>
      </c>
      <c r="E75" s="1"/>
      <c r="F75" s="1"/>
      <c r="G75" s="1"/>
      <c r="H75" s="1">
        <v>43</v>
      </c>
      <c r="I75" s="1">
        <v>39</v>
      </c>
      <c r="J75" s="1">
        <v>42</v>
      </c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>
        <v>59</v>
      </c>
      <c r="AG75" s="1">
        <v>33</v>
      </c>
      <c r="AH75" s="1">
        <v>24</v>
      </c>
      <c r="AI75" s="5">
        <f t="shared" si="2"/>
        <v>38.666666666666664</v>
      </c>
      <c r="AJ75" s="5">
        <f t="shared" si="3"/>
        <v>51.333333333333336</v>
      </c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>
        <v>6.13</v>
      </c>
      <c r="BB75" s="1">
        <v>7.4000000000000003E-3</v>
      </c>
    </row>
    <row r="76" spans="1:54" x14ac:dyDescent="0.25">
      <c r="A76" s="1" t="s">
        <v>75</v>
      </c>
      <c r="B76" s="1" t="s">
        <v>200</v>
      </c>
      <c r="C76" s="1">
        <v>37</v>
      </c>
      <c r="D76" s="1">
        <v>800</v>
      </c>
      <c r="E76" s="1"/>
      <c r="F76" s="1"/>
      <c r="G76" s="1"/>
      <c r="H76" s="1">
        <v>51</v>
      </c>
      <c r="I76" s="1">
        <v>34</v>
      </c>
      <c r="J76" s="1">
        <v>35</v>
      </c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>
        <v>33</v>
      </c>
      <c r="AG76" s="1">
        <v>29</v>
      </c>
      <c r="AH76" s="1">
        <v>28</v>
      </c>
      <c r="AI76" s="5">
        <f t="shared" si="2"/>
        <v>30</v>
      </c>
      <c r="AJ76" s="5">
        <f t="shared" si="3"/>
        <v>60</v>
      </c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>
        <v>7.21</v>
      </c>
      <c r="BB76" s="1">
        <v>1.09E-2</v>
      </c>
    </row>
    <row r="77" spans="1:54" x14ac:dyDescent="0.25">
      <c r="A77" s="1" t="s">
        <v>76</v>
      </c>
      <c r="B77" s="1" t="s">
        <v>200</v>
      </c>
      <c r="C77" s="1">
        <v>37</v>
      </c>
      <c r="D77" s="1">
        <v>800</v>
      </c>
      <c r="E77" s="1"/>
      <c r="F77" s="1"/>
      <c r="G77" s="1"/>
      <c r="H77" s="1">
        <v>53</v>
      </c>
      <c r="I77" s="1">
        <v>50</v>
      </c>
      <c r="J77" s="1">
        <v>46</v>
      </c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>
        <v>51</v>
      </c>
      <c r="AG77" s="1">
        <v>58</v>
      </c>
      <c r="AH77" s="1">
        <v>55</v>
      </c>
      <c r="AI77" s="5">
        <f t="shared" si="2"/>
        <v>54.666666666666664</v>
      </c>
      <c r="AJ77" s="5">
        <f t="shared" si="3"/>
        <v>35.333333333333336</v>
      </c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>
        <v>4.83</v>
      </c>
      <c r="BB77" s="1">
        <v>110</v>
      </c>
    </row>
    <row r="78" spans="1:54" x14ac:dyDescent="0.25">
      <c r="A78" s="1" t="s">
        <v>77</v>
      </c>
      <c r="B78" s="1" t="s">
        <v>200</v>
      </c>
      <c r="C78" s="1">
        <v>30</v>
      </c>
      <c r="D78" s="1">
        <v>800</v>
      </c>
      <c r="E78" s="1"/>
      <c r="F78" s="1"/>
      <c r="G78" s="1"/>
      <c r="H78" s="1">
        <v>52</v>
      </c>
      <c r="I78" s="1">
        <v>51</v>
      </c>
      <c r="J78" s="1">
        <v>39</v>
      </c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>
        <v>43</v>
      </c>
      <c r="AG78" s="1">
        <v>37</v>
      </c>
      <c r="AH78" s="1">
        <v>39</v>
      </c>
      <c r="AI78" s="5">
        <f t="shared" si="2"/>
        <v>39.666666666666664</v>
      </c>
      <c r="AJ78" s="5">
        <f t="shared" si="3"/>
        <v>50.333333333333336</v>
      </c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>
        <v>15.88</v>
      </c>
      <c r="BB78" s="1">
        <v>1.5699999999999999E-2</v>
      </c>
    </row>
    <row r="79" spans="1:54" x14ac:dyDescent="0.25">
      <c r="A79" s="1" t="s">
        <v>78</v>
      </c>
      <c r="B79" s="1" t="s">
        <v>200</v>
      </c>
      <c r="C79" s="1">
        <v>30</v>
      </c>
      <c r="D79" s="1">
        <v>800</v>
      </c>
      <c r="E79" s="1"/>
      <c r="F79" s="1"/>
      <c r="G79" s="1"/>
      <c r="H79" s="1">
        <v>44</v>
      </c>
      <c r="I79" s="1">
        <v>39</v>
      </c>
      <c r="J79" s="1">
        <v>33</v>
      </c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>
        <v>39</v>
      </c>
      <c r="AG79" s="1">
        <v>34</v>
      </c>
      <c r="AH79" s="1">
        <v>32</v>
      </c>
      <c r="AI79" s="5">
        <f t="shared" si="2"/>
        <v>35</v>
      </c>
      <c r="AJ79" s="5">
        <f t="shared" si="3"/>
        <v>55</v>
      </c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>
        <v>16.03</v>
      </c>
      <c r="BB79" s="1">
        <v>1.1299999999999999E-2</v>
      </c>
    </row>
    <row r="80" spans="1:54" x14ac:dyDescent="0.25">
      <c r="A80" s="1" t="s">
        <v>79</v>
      </c>
      <c r="B80" s="1" t="s">
        <v>200</v>
      </c>
      <c r="C80" s="1">
        <v>30</v>
      </c>
      <c r="D80" s="1">
        <v>800</v>
      </c>
      <c r="E80" s="1"/>
      <c r="F80" s="1"/>
      <c r="G80" s="1"/>
      <c r="H80" s="1">
        <v>60</v>
      </c>
      <c r="I80" s="1">
        <v>42</v>
      </c>
      <c r="J80" s="1">
        <v>39</v>
      </c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>
        <v>45</v>
      </c>
      <c r="AG80" s="1">
        <v>37</v>
      </c>
      <c r="AH80" s="1">
        <v>34</v>
      </c>
      <c r="AI80" s="5">
        <f t="shared" si="2"/>
        <v>38.666666666666664</v>
      </c>
      <c r="AJ80" s="5">
        <f t="shared" si="3"/>
        <v>51.333333333333336</v>
      </c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>
        <v>16.66</v>
      </c>
      <c r="BB80" s="1">
        <v>1.2500000000000001E-2</v>
      </c>
    </row>
    <row r="81" spans="1:54" x14ac:dyDescent="0.25">
      <c r="A81" s="1" t="s">
        <v>80</v>
      </c>
      <c r="B81" s="1" t="s">
        <v>200</v>
      </c>
      <c r="C81" s="1">
        <v>37</v>
      </c>
      <c r="D81" s="1">
        <v>400</v>
      </c>
      <c r="E81" s="1"/>
      <c r="F81" s="1"/>
      <c r="G81" s="1"/>
      <c r="H81" s="1">
        <v>64</v>
      </c>
      <c r="I81" s="1">
        <v>54</v>
      </c>
      <c r="J81" s="1">
        <v>36</v>
      </c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>
        <v>48</v>
      </c>
      <c r="AG81" s="1">
        <v>35</v>
      </c>
      <c r="AH81" s="1">
        <v>38</v>
      </c>
      <c r="AI81" s="5">
        <f t="shared" si="2"/>
        <v>40.333333333333336</v>
      </c>
      <c r="AJ81" s="5">
        <f t="shared" si="3"/>
        <v>49.666666666666664</v>
      </c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>
        <v>7.15</v>
      </c>
      <c r="BB81" s="1"/>
    </row>
    <row r="82" spans="1:54" x14ac:dyDescent="0.25">
      <c r="A82" s="1" t="s">
        <v>81</v>
      </c>
      <c r="B82" s="1" t="s">
        <v>200</v>
      </c>
      <c r="C82" s="1">
        <v>37</v>
      </c>
      <c r="D82" s="1">
        <v>400</v>
      </c>
      <c r="E82" s="1"/>
      <c r="F82" s="1"/>
      <c r="G82" s="1"/>
      <c r="H82" s="1">
        <v>75</v>
      </c>
      <c r="I82" s="1">
        <v>61</v>
      </c>
      <c r="J82" s="1">
        <v>41</v>
      </c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>
        <v>57</v>
      </c>
      <c r="AG82" s="1">
        <v>51</v>
      </c>
      <c r="AH82" s="1">
        <v>34</v>
      </c>
      <c r="AI82" s="5">
        <f t="shared" si="2"/>
        <v>47.333333333333336</v>
      </c>
      <c r="AJ82" s="5">
        <f t="shared" si="3"/>
        <v>42.666666666666664</v>
      </c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>
        <v>7.61</v>
      </c>
      <c r="BB82" s="1">
        <v>9.1999999999999998E-3</v>
      </c>
    </row>
    <row r="83" spans="1:54" x14ac:dyDescent="0.25">
      <c r="A83" s="1" t="s">
        <v>82</v>
      </c>
      <c r="B83" s="1" t="s">
        <v>200</v>
      </c>
      <c r="C83" s="1">
        <v>37</v>
      </c>
      <c r="D83" s="1">
        <v>400</v>
      </c>
      <c r="E83" s="1"/>
      <c r="F83" s="1"/>
      <c r="G83" s="1"/>
      <c r="H83" s="1">
        <v>51</v>
      </c>
      <c r="I83" s="1">
        <v>45</v>
      </c>
      <c r="J83" s="1">
        <v>48</v>
      </c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>
        <v>55</v>
      </c>
      <c r="AG83" s="1">
        <v>53</v>
      </c>
      <c r="AH83" s="1">
        <v>35</v>
      </c>
      <c r="AI83" s="5">
        <f t="shared" si="2"/>
        <v>47.666666666666664</v>
      </c>
      <c r="AJ83" s="5">
        <f t="shared" si="3"/>
        <v>42.333333333333336</v>
      </c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>
        <v>6.43</v>
      </c>
      <c r="BB83" s="1">
        <v>8.3000000000000001E-3</v>
      </c>
    </row>
    <row r="84" spans="1:54" x14ac:dyDescent="0.25">
      <c r="A84" s="1" t="s">
        <v>83</v>
      </c>
      <c r="B84" s="1" t="s">
        <v>201</v>
      </c>
      <c r="C84" s="1">
        <v>22</v>
      </c>
      <c r="D84" s="1">
        <v>800</v>
      </c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>
        <f>35/55</f>
        <v>0.63636363636363635</v>
      </c>
      <c r="AG84" s="1">
        <f>31/48</f>
        <v>0.64583333333333337</v>
      </c>
      <c r="AH84" s="1">
        <f>33/43</f>
        <v>0.76744186046511631</v>
      </c>
      <c r="AI84" s="5"/>
      <c r="AJ84" s="5"/>
      <c r="AK84" s="5"/>
      <c r="AL84" s="5"/>
      <c r="AM84" s="5"/>
      <c r="AN84" s="5">
        <f>23/45</f>
        <v>0.51111111111111107</v>
      </c>
      <c r="AO84" s="5">
        <f>34/45</f>
        <v>0.75555555555555554</v>
      </c>
      <c r="AP84" s="5">
        <f>32/47</f>
        <v>0.68085106382978722</v>
      </c>
      <c r="AQ84" s="5">
        <f>38/55</f>
        <v>0.69090909090909092</v>
      </c>
      <c r="AR84" s="5">
        <f>35/44</f>
        <v>0.79545454545454541</v>
      </c>
      <c r="AS84" s="5">
        <f>34/37</f>
        <v>0.91891891891891897</v>
      </c>
      <c r="AT84" s="5"/>
      <c r="AU84" s="5"/>
      <c r="AV84" s="5">
        <f>35/55</f>
        <v>0.63636363636363635</v>
      </c>
      <c r="AW84" s="5">
        <f>31/48</f>
        <v>0.64583333333333337</v>
      </c>
      <c r="AX84" s="5">
        <f>33/43</f>
        <v>0.76744186046511631</v>
      </c>
      <c r="AY84" s="5">
        <f>AVERAGE(AV84:AX84)</f>
        <v>0.68321294338736205</v>
      </c>
      <c r="AZ84" s="5">
        <v>31.7</v>
      </c>
      <c r="BA84" s="5">
        <v>6.6E-3</v>
      </c>
      <c r="BB84" s="1">
        <v>6.6E-3</v>
      </c>
    </row>
    <row r="85" spans="1:54" x14ac:dyDescent="0.25">
      <c r="A85" s="1" t="s">
        <v>84</v>
      </c>
      <c r="B85" s="1" t="s">
        <v>201</v>
      </c>
      <c r="C85" s="1">
        <v>22</v>
      </c>
      <c r="D85" s="1">
        <v>800</v>
      </c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>
        <f>34/47</f>
        <v>0.72340425531914898</v>
      </c>
      <c r="AG85" s="1">
        <f>31/46</f>
        <v>0.67391304347826086</v>
      </c>
      <c r="AH85" s="1">
        <f>37/46</f>
        <v>0.80434782608695654</v>
      </c>
      <c r="AI85" s="5"/>
      <c r="AJ85" s="5"/>
      <c r="AK85" s="5"/>
      <c r="AL85" s="5"/>
      <c r="AM85" s="5"/>
      <c r="AN85" s="5">
        <f>30/40</f>
        <v>0.75</v>
      </c>
      <c r="AO85" s="5">
        <f>35/40</f>
        <v>0.875</v>
      </c>
      <c r="AP85" s="5">
        <f>29/37</f>
        <v>0.78378378378378377</v>
      </c>
      <c r="AQ85" s="5">
        <f>31/42</f>
        <v>0.73809523809523814</v>
      </c>
      <c r="AR85" s="5">
        <f>28/44</f>
        <v>0.63636363636363635</v>
      </c>
      <c r="AS85" s="5">
        <f>27/38</f>
        <v>0.71052631578947367</v>
      </c>
      <c r="AT85" s="5"/>
      <c r="AU85" s="5"/>
      <c r="AV85" s="5">
        <f>34/47</f>
        <v>0.72340425531914898</v>
      </c>
      <c r="AW85" s="5">
        <f>31/46</f>
        <v>0.67391304347826086</v>
      </c>
      <c r="AX85" s="5">
        <f>37/46</f>
        <v>0.80434782608695654</v>
      </c>
      <c r="AY85" s="5">
        <f t="shared" ref="AY85:AY95" si="4">AVERAGE(AV85:AX85)</f>
        <v>0.73388837496145543</v>
      </c>
      <c r="AZ85" s="5">
        <v>31.2</v>
      </c>
      <c r="BA85" s="5">
        <v>5.4000000000000003E-3</v>
      </c>
      <c r="BB85" s="1">
        <v>5.4000000000000003E-3</v>
      </c>
    </row>
    <row r="86" spans="1:54" x14ac:dyDescent="0.25">
      <c r="A86" s="1" t="s">
        <v>85</v>
      </c>
      <c r="B86" s="1" t="s">
        <v>201</v>
      </c>
      <c r="C86" s="1">
        <v>22</v>
      </c>
      <c r="D86" s="1">
        <v>800</v>
      </c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>
        <f>25/40</f>
        <v>0.625</v>
      </c>
      <c r="AG86" s="1">
        <f>27/37</f>
        <v>0.72972972972972971</v>
      </c>
      <c r="AH86" s="1">
        <f>23/40</f>
        <v>0.57499999999999996</v>
      </c>
      <c r="AI86" s="5"/>
      <c r="AJ86" s="5"/>
      <c r="AK86" s="5"/>
      <c r="AL86" s="5"/>
      <c r="AM86" s="5"/>
      <c r="AN86" s="5">
        <f>20/36</f>
        <v>0.55555555555555558</v>
      </c>
      <c r="AO86" s="5">
        <f>28/34</f>
        <v>0.82352941176470584</v>
      </c>
      <c r="AP86" s="5">
        <f>25/42</f>
        <v>0.59523809523809523</v>
      </c>
      <c r="AQ86" s="5">
        <f>22/37</f>
        <v>0.59459459459459463</v>
      </c>
      <c r="AR86" s="5">
        <f>27/37</f>
        <v>0.72972972972972971</v>
      </c>
      <c r="AS86" s="5">
        <f>24/39</f>
        <v>0.61538461538461542</v>
      </c>
      <c r="AT86" s="5"/>
      <c r="AU86" s="5"/>
      <c r="AV86" s="5">
        <f>25/40</f>
        <v>0.625</v>
      </c>
      <c r="AW86" s="5">
        <f>27/37</f>
        <v>0.72972972972972971</v>
      </c>
      <c r="AX86" s="5">
        <f>23/40</f>
        <v>0.57499999999999996</v>
      </c>
      <c r="AY86" s="5">
        <f t="shared" si="4"/>
        <v>0.64324324324324322</v>
      </c>
      <c r="AZ86" s="5">
        <v>22.3</v>
      </c>
      <c r="BA86" s="5">
        <v>5.4999999999999997E-3</v>
      </c>
      <c r="BB86" s="1">
        <v>5.4999999999999997E-3</v>
      </c>
    </row>
    <row r="87" spans="1:54" x14ac:dyDescent="0.25">
      <c r="A87" s="1" t="s">
        <v>86</v>
      </c>
      <c r="B87" s="1" t="s">
        <v>201</v>
      </c>
      <c r="C87" s="1">
        <v>28</v>
      </c>
      <c r="D87" s="1">
        <v>400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>
        <f>33/40</f>
        <v>0.82499999999999996</v>
      </c>
      <c r="AG87" s="1">
        <f>30/39</f>
        <v>0.76923076923076927</v>
      </c>
      <c r="AH87" s="1">
        <f>32/39</f>
        <v>0.82051282051282048</v>
      </c>
      <c r="AI87" s="5"/>
      <c r="AJ87" s="5"/>
      <c r="AK87" s="5"/>
      <c r="AL87" s="5"/>
      <c r="AM87" s="5"/>
      <c r="AN87" s="5">
        <f>30/38</f>
        <v>0.78947368421052633</v>
      </c>
      <c r="AO87" s="5">
        <f>35/40</f>
        <v>0.875</v>
      </c>
      <c r="AP87" s="5">
        <f>27/39</f>
        <v>0.69230769230769229</v>
      </c>
      <c r="AQ87" s="5">
        <f>30/38</f>
        <v>0.78947368421052633</v>
      </c>
      <c r="AR87" s="5">
        <f>31/38</f>
        <v>0.81578947368421051</v>
      </c>
      <c r="AS87" s="5">
        <f>31/38</f>
        <v>0.81578947368421051</v>
      </c>
      <c r="AT87" s="5"/>
      <c r="AU87" s="5"/>
      <c r="AV87" s="5">
        <f>33/40</f>
        <v>0.82499999999999996</v>
      </c>
      <c r="AW87" s="5">
        <f>30/39</f>
        <v>0.76923076923076927</v>
      </c>
      <c r="AX87" s="5">
        <f>32/39</f>
        <v>0.82051282051282048</v>
      </c>
      <c r="AY87" s="5">
        <f t="shared" si="4"/>
        <v>0.80491452991452983</v>
      </c>
      <c r="AZ87" s="5">
        <v>18.5</v>
      </c>
      <c r="BA87" s="5">
        <v>5.0000000000000001E-3</v>
      </c>
      <c r="BB87" s="1">
        <v>5.0000000000000001E-3</v>
      </c>
    </row>
    <row r="88" spans="1:54" x14ac:dyDescent="0.25">
      <c r="A88" s="1" t="s">
        <v>87</v>
      </c>
      <c r="B88" s="1" t="s">
        <v>201</v>
      </c>
      <c r="C88" s="1">
        <v>28</v>
      </c>
      <c r="D88" s="1">
        <v>400</v>
      </c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>
        <f>30/41</f>
        <v>0.73170731707317072</v>
      </c>
      <c r="AG88" s="1">
        <f>39/46</f>
        <v>0.84782608695652173</v>
      </c>
      <c r="AH88" s="1">
        <f>30/38</f>
        <v>0.78947368421052633</v>
      </c>
      <c r="AI88" s="5"/>
      <c r="AJ88" s="5"/>
      <c r="AK88" s="5"/>
      <c r="AL88" s="5"/>
      <c r="AM88" s="5"/>
      <c r="AN88" s="5">
        <f>34/44</f>
        <v>0.77272727272727271</v>
      </c>
      <c r="AO88" s="5">
        <f>36/45</f>
        <v>0.8</v>
      </c>
      <c r="AP88" s="5">
        <f>31/42</f>
        <v>0.73809523809523814</v>
      </c>
      <c r="AQ88" s="5">
        <f>35/39</f>
        <v>0.89743589743589747</v>
      </c>
      <c r="AR88" s="5">
        <f>37/43</f>
        <v>0.86046511627906974</v>
      </c>
      <c r="AS88" s="5">
        <f>35/42</f>
        <v>0.83333333333333337</v>
      </c>
      <c r="AT88" s="5"/>
      <c r="AU88" s="5"/>
      <c r="AV88" s="5">
        <f>30/41</f>
        <v>0.73170731707317072</v>
      </c>
      <c r="AW88" s="5">
        <f>39/46</f>
        <v>0.84782608695652173</v>
      </c>
      <c r="AX88" s="5">
        <f>30/38</f>
        <v>0.78947368421052633</v>
      </c>
      <c r="AY88" s="5">
        <f t="shared" si="4"/>
        <v>0.78966902941340622</v>
      </c>
      <c r="AZ88" s="5">
        <v>26.4</v>
      </c>
      <c r="BA88" s="5">
        <v>5.3E-3</v>
      </c>
      <c r="BB88" s="1">
        <v>5.3E-3</v>
      </c>
    </row>
    <row r="89" spans="1:54" x14ac:dyDescent="0.25">
      <c r="A89" s="1" t="s">
        <v>88</v>
      </c>
      <c r="B89" s="1" t="s">
        <v>201</v>
      </c>
      <c r="C89" s="1">
        <v>28</v>
      </c>
      <c r="D89" s="1">
        <v>400</v>
      </c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>
        <f>32/41</f>
        <v>0.78048780487804881</v>
      </c>
      <c r="AG89" s="1">
        <f>37/41</f>
        <v>0.90243902439024393</v>
      </c>
      <c r="AH89" s="1">
        <f>35/47</f>
        <v>0.74468085106382975</v>
      </c>
      <c r="AI89" s="5"/>
      <c r="AJ89" s="5"/>
      <c r="AK89" s="5"/>
      <c r="AL89" s="5"/>
      <c r="AM89" s="5"/>
      <c r="AN89" s="5">
        <f>37/44</f>
        <v>0.84090909090909094</v>
      </c>
      <c r="AO89" s="5">
        <f>29/32</f>
        <v>0.90625</v>
      </c>
      <c r="AP89" s="5">
        <f>31/38</f>
        <v>0.81578947368421051</v>
      </c>
      <c r="AQ89" s="5">
        <f>39/42</f>
        <v>0.9285714285714286</v>
      </c>
      <c r="AR89" s="5">
        <f>36/39</f>
        <v>0.92307692307692313</v>
      </c>
      <c r="AS89" s="5">
        <f>39/41</f>
        <v>0.95121951219512191</v>
      </c>
      <c r="AT89" s="5"/>
      <c r="AU89" s="5"/>
      <c r="AV89" s="5">
        <f>32/41</f>
        <v>0.78048780487804881</v>
      </c>
      <c r="AW89" s="5">
        <f>37/41</f>
        <v>0.90243902439024393</v>
      </c>
      <c r="AX89" s="5">
        <f>35/47</f>
        <v>0.74468085106382975</v>
      </c>
      <c r="AY89" s="5">
        <f t="shared" si="4"/>
        <v>0.80920256011070757</v>
      </c>
      <c r="AZ89" s="5">
        <v>28.4</v>
      </c>
      <c r="BA89" s="5">
        <v>4.1000000000000003E-3</v>
      </c>
      <c r="BB89" s="1">
        <v>4.1000000000000003E-3</v>
      </c>
    </row>
    <row r="90" spans="1:54" x14ac:dyDescent="0.25">
      <c r="A90" s="1" t="s">
        <v>89</v>
      </c>
      <c r="B90" s="1" t="s">
        <v>201</v>
      </c>
      <c r="C90" s="1">
        <v>22</v>
      </c>
      <c r="D90" s="1">
        <v>400</v>
      </c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2"/>
      <c r="Y90" s="2"/>
      <c r="Z90" s="1"/>
      <c r="AA90" s="1"/>
      <c r="AB90" s="1"/>
      <c r="AC90" s="1"/>
      <c r="AD90" s="1"/>
      <c r="AE90" s="1"/>
      <c r="AF90" s="2">
        <f>7/28</f>
        <v>0.25</v>
      </c>
      <c r="AG90" s="2">
        <f>15/38</f>
        <v>0.39473684210526316</v>
      </c>
      <c r="AH90" s="2">
        <f>10/32</f>
        <v>0.3125</v>
      </c>
      <c r="AI90" s="5"/>
      <c r="AJ90" s="5"/>
      <c r="AK90" s="5"/>
      <c r="AL90" s="5"/>
      <c r="AM90" s="5"/>
      <c r="AN90" s="5">
        <f>27/39</f>
        <v>0.69230769230769229</v>
      </c>
      <c r="AO90" s="5">
        <f>15/30</f>
        <v>0.5</v>
      </c>
      <c r="AP90" s="5">
        <f>30/49</f>
        <v>0.61224489795918369</v>
      </c>
      <c r="AQ90" s="5">
        <f>19/35</f>
        <v>0.54285714285714282</v>
      </c>
      <c r="AR90" s="5">
        <f>8/34</f>
        <v>0.23529411764705882</v>
      </c>
      <c r="AS90" s="5">
        <f>8/36</f>
        <v>0.22222222222222221</v>
      </c>
      <c r="AT90" s="5"/>
      <c r="AU90" s="5"/>
      <c r="AV90" s="5">
        <f>7/28</f>
        <v>0.25</v>
      </c>
      <c r="AW90" s="5">
        <f>15/38</f>
        <v>0.39473684210526316</v>
      </c>
      <c r="AX90" s="5">
        <f>10/32</f>
        <v>0.3125</v>
      </c>
      <c r="AY90" s="5">
        <f t="shared" si="4"/>
        <v>0.31907894736842107</v>
      </c>
      <c r="AZ90" s="5">
        <v>20.8</v>
      </c>
      <c r="BA90" s="5">
        <v>6.3E-3</v>
      </c>
      <c r="BB90" s="1">
        <v>6.3E-3</v>
      </c>
    </row>
    <row r="91" spans="1:54" x14ac:dyDescent="0.25">
      <c r="A91" s="1" t="s">
        <v>90</v>
      </c>
      <c r="B91" s="1" t="s">
        <v>201</v>
      </c>
      <c r="C91" s="1">
        <v>22</v>
      </c>
      <c r="D91" s="1">
        <v>400</v>
      </c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2"/>
      <c r="Y91" s="2"/>
      <c r="Z91" s="1"/>
      <c r="AA91" s="1"/>
      <c r="AB91" s="1"/>
      <c r="AC91" s="1"/>
      <c r="AD91" s="1"/>
      <c r="AE91" s="1"/>
      <c r="AF91" s="2">
        <f>18/42</f>
        <v>0.42857142857142855</v>
      </c>
      <c r="AG91" s="2">
        <f>20/41</f>
        <v>0.48780487804878048</v>
      </c>
      <c r="AH91" s="2">
        <f>21/48</f>
        <v>0.4375</v>
      </c>
      <c r="AI91" s="5"/>
      <c r="AJ91" s="5"/>
      <c r="AK91" s="5"/>
      <c r="AL91" s="5"/>
      <c r="AM91" s="5"/>
      <c r="AN91" s="5">
        <f>25/56</f>
        <v>0.44642857142857145</v>
      </c>
      <c r="AO91" s="5">
        <f>13/57</f>
        <v>0.22807017543859648</v>
      </c>
      <c r="AP91" s="5">
        <f>27/45</f>
        <v>0.6</v>
      </c>
      <c r="AQ91" s="5">
        <f>24/40</f>
        <v>0.6</v>
      </c>
      <c r="AR91" s="5">
        <f>21/39</f>
        <v>0.53846153846153844</v>
      </c>
      <c r="AS91" s="5">
        <f>15/42</f>
        <v>0.35714285714285715</v>
      </c>
      <c r="AT91" s="5"/>
      <c r="AU91" s="5"/>
      <c r="AV91" s="5">
        <f>18/42</f>
        <v>0.42857142857142855</v>
      </c>
      <c r="AW91" s="5">
        <f>20/41</f>
        <v>0.48780487804878048</v>
      </c>
      <c r="AX91" s="5">
        <f>21/48</f>
        <v>0.4375</v>
      </c>
      <c r="AY91" s="5">
        <f t="shared" si="4"/>
        <v>0.45129210220673638</v>
      </c>
      <c r="AZ91" s="5">
        <v>27.8</v>
      </c>
      <c r="BA91" s="5">
        <v>8.3000000000000001E-3</v>
      </c>
      <c r="BB91" s="1">
        <v>8.3000000000000001E-3</v>
      </c>
    </row>
    <row r="92" spans="1:54" x14ac:dyDescent="0.25">
      <c r="A92" s="1" t="s">
        <v>91</v>
      </c>
      <c r="B92" s="1" t="s">
        <v>201</v>
      </c>
      <c r="C92" s="1">
        <v>22</v>
      </c>
      <c r="D92" s="1">
        <v>400</v>
      </c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2"/>
      <c r="Y92" s="2"/>
      <c r="Z92" s="1"/>
      <c r="AA92" s="1"/>
      <c r="AB92" s="1"/>
      <c r="AC92" s="1"/>
      <c r="AD92" s="1"/>
      <c r="AE92" s="1"/>
      <c r="AF92" s="2">
        <f>17/40</f>
        <v>0.42499999999999999</v>
      </c>
      <c r="AG92" s="2">
        <f>21/39</f>
        <v>0.53846153846153844</v>
      </c>
      <c r="AH92" s="2">
        <f>25/40</f>
        <v>0.625</v>
      </c>
      <c r="AI92" s="5"/>
      <c r="AJ92" s="5"/>
      <c r="AK92" s="5"/>
      <c r="AL92" s="5"/>
      <c r="AM92" s="5"/>
      <c r="AN92" s="5">
        <f>24/37</f>
        <v>0.64864864864864868</v>
      </c>
      <c r="AO92" s="5">
        <f>14/41</f>
        <v>0.34146341463414637</v>
      </c>
      <c r="AP92" s="5">
        <f>28/45</f>
        <v>0.62222222222222223</v>
      </c>
      <c r="AQ92" s="5">
        <f>39/42</f>
        <v>0.9285714285714286</v>
      </c>
      <c r="AR92" s="5">
        <f>36/39</f>
        <v>0.92307692307692313</v>
      </c>
      <c r="AS92" s="5">
        <f>39/41</f>
        <v>0.95121951219512191</v>
      </c>
      <c r="AT92" s="5"/>
      <c r="AU92" s="5"/>
      <c r="AV92" s="5">
        <f>17/40</f>
        <v>0.42499999999999999</v>
      </c>
      <c r="AW92" s="5">
        <f>21/39</f>
        <v>0.53846153846153844</v>
      </c>
      <c r="AX92" s="5">
        <f>25/40</f>
        <v>0.625</v>
      </c>
      <c r="AY92" s="5">
        <f t="shared" si="4"/>
        <v>0.52948717948717949</v>
      </c>
      <c r="AZ92" s="5">
        <v>28.8</v>
      </c>
      <c r="BA92" s="5">
        <v>8.2000000000000007E-3</v>
      </c>
      <c r="BB92" s="1">
        <v>8.2000000000000007E-3</v>
      </c>
    </row>
    <row r="93" spans="1:54" x14ac:dyDescent="0.25">
      <c r="A93" s="1" t="s">
        <v>92</v>
      </c>
      <c r="B93" s="1" t="s">
        <v>201</v>
      </c>
      <c r="C93" s="1">
        <v>28</v>
      </c>
      <c r="D93" s="1">
        <v>800</v>
      </c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2"/>
      <c r="Y93" s="2"/>
      <c r="Z93" s="1"/>
      <c r="AA93" s="1"/>
      <c r="AB93" s="1"/>
      <c r="AC93" s="1"/>
      <c r="AD93" s="1"/>
      <c r="AE93" s="1"/>
      <c r="AF93" s="2">
        <f>24/36</f>
        <v>0.66666666666666663</v>
      </c>
      <c r="AG93" s="2">
        <f>16/35</f>
        <v>0.45714285714285713</v>
      </c>
      <c r="AH93" s="2">
        <f>16/32</f>
        <v>0.5</v>
      </c>
      <c r="AI93" s="5"/>
      <c r="AJ93" s="5"/>
      <c r="AK93" s="5"/>
      <c r="AL93" s="5"/>
      <c r="AM93" s="5"/>
      <c r="AN93" s="5">
        <f>25/41</f>
        <v>0.6097560975609756</v>
      </c>
      <c r="AO93" s="5">
        <f>30/45</f>
        <v>0.66666666666666663</v>
      </c>
      <c r="AP93" s="5">
        <f>34/45</f>
        <v>0.75555555555555554</v>
      </c>
      <c r="AQ93" s="5">
        <f>29/35</f>
        <v>0.82857142857142863</v>
      </c>
      <c r="AR93" s="5">
        <f>24/34</f>
        <v>0.70588235294117652</v>
      </c>
      <c r="AS93" s="5">
        <f>25/41</f>
        <v>0.6097560975609756</v>
      </c>
      <c r="AT93" s="5"/>
      <c r="AU93" s="5"/>
      <c r="AV93" s="5">
        <f>24/36</f>
        <v>0.66666666666666663</v>
      </c>
      <c r="AW93" s="5">
        <f>16/35</f>
        <v>0.45714285714285713</v>
      </c>
      <c r="AX93" s="5">
        <f>16/32</f>
        <v>0.5</v>
      </c>
      <c r="AY93" s="5">
        <f t="shared" si="4"/>
        <v>0.54126984126984123</v>
      </c>
      <c r="AZ93" s="5">
        <v>36.6</v>
      </c>
      <c r="BA93" s="5">
        <v>9.5999999999999992E-3</v>
      </c>
      <c r="BB93" s="1">
        <v>9.5999999999999992E-3</v>
      </c>
    </row>
    <row r="94" spans="1:54" x14ac:dyDescent="0.25">
      <c r="A94" s="1" t="s">
        <v>93</v>
      </c>
      <c r="B94" s="1" t="s">
        <v>201</v>
      </c>
      <c r="C94" s="1">
        <v>28</v>
      </c>
      <c r="D94" s="1">
        <v>800</v>
      </c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2"/>
      <c r="Y94" s="2"/>
      <c r="Z94" s="1"/>
      <c r="AA94" s="1"/>
      <c r="AB94" s="1"/>
      <c r="AC94" s="1"/>
      <c r="AD94" s="1"/>
      <c r="AE94" s="1"/>
      <c r="AF94" s="2">
        <f>29/47</f>
        <v>0.61702127659574468</v>
      </c>
      <c r="AG94" s="2">
        <f>25/45</f>
        <v>0.55555555555555558</v>
      </c>
      <c r="AH94" s="2">
        <f>23/39</f>
        <v>0.58974358974358976</v>
      </c>
      <c r="AI94" s="5"/>
      <c r="AJ94" s="5"/>
      <c r="AK94" s="5"/>
      <c r="AL94" s="5"/>
      <c r="AM94" s="5"/>
      <c r="AN94" s="5">
        <f>25/46</f>
        <v>0.54347826086956519</v>
      </c>
      <c r="AO94" s="5">
        <f>20/40</f>
        <v>0.5</v>
      </c>
      <c r="AP94" s="5">
        <f>37/49</f>
        <v>0.75510204081632648</v>
      </c>
      <c r="AQ94" s="5">
        <f>32/44</f>
        <v>0.72727272727272729</v>
      </c>
      <c r="AR94" s="5">
        <f>35/44</f>
        <v>0.79545454545454541</v>
      </c>
      <c r="AS94" s="5">
        <f>23/43</f>
        <v>0.53488372093023251</v>
      </c>
      <c r="AT94" s="5"/>
      <c r="AU94" s="5"/>
      <c r="AV94" s="5">
        <f>29/47</f>
        <v>0.61702127659574468</v>
      </c>
      <c r="AW94" s="5">
        <f>25/45</f>
        <v>0.55555555555555558</v>
      </c>
      <c r="AX94" s="5">
        <f>23/39</f>
        <v>0.58974358974358976</v>
      </c>
      <c r="AY94" s="5">
        <f t="shared" si="4"/>
        <v>0.58744014063162997</v>
      </c>
      <c r="AZ94" s="5">
        <v>36</v>
      </c>
      <c r="BA94" s="5">
        <v>8.8999999999999999E-3</v>
      </c>
      <c r="BB94" s="1">
        <v>8.8999999999999999E-3</v>
      </c>
    </row>
    <row r="95" spans="1:54" x14ac:dyDescent="0.25">
      <c r="A95" s="1" t="s">
        <v>94</v>
      </c>
      <c r="B95" s="1" t="s">
        <v>201</v>
      </c>
      <c r="C95" s="1">
        <v>28</v>
      </c>
      <c r="D95" s="1">
        <v>800</v>
      </c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2"/>
      <c r="Y95" s="2"/>
      <c r="Z95" s="1"/>
      <c r="AA95" s="1"/>
      <c r="AB95" s="1"/>
      <c r="AC95" s="1"/>
      <c r="AD95" s="1"/>
      <c r="AE95" s="1"/>
      <c r="AF95" s="2">
        <f>27/43</f>
        <v>0.62790697674418605</v>
      </c>
      <c r="AG95" s="2">
        <f>28/43</f>
        <v>0.65116279069767447</v>
      </c>
      <c r="AH95" s="2">
        <f>23/45</f>
        <v>0.51111111111111107</v>
      </c>
      <c r="AI95" s="5"/>
      <c r="AJ95" s="5"/>
      <c r="AK95" s="5"/>
      <c r="AL95" s="5"/>
      <c r="AM95" s="5"/>
      <c r="AN95" s="5">
        <f>23/37</f>
        <v>0.6216216216216216</v>
      </c>
      <c r="AO95" s="5">
        <f>33/40</f>
        <v>0.82499999999999996</v>
      </c>
      <c r="AP95" s="5">
        <f>37/46</f>
        <v>0.80434782608695654</v>
      </c>
      <c r="AQ95" s="5">
        <f>27/40</f>
        <v>0.67500000000000004</v>
      </c>
      <c r="AR95" s="5">
        <f>33/41</f>
        <v>0.80487804878048785</v>
      </c>
      <c r="AS95" s="5">
        <f>37/43</f>
        <v>0.86046511627906974</v>
      </c>
      <c r="AT95" s="5"/>
      <c r="AU95" s="5"/>
      <c r="AV95" s="5">
        <f>27/43</f>
        <v>0.62790697674418605</v>
      </c>
      <c r="AW95" s="5">
        <f>28/43</f>
        <v>0.65116279069767447</v>
      </c>
      <c r="AX95" s="5">
        <f>23/45</f>
        <v>0.51111111111111107</v>
      </c>
      <c r="AY95" s="5">
        <f t="shared" si="4"/>
        <v>0.5967269595176572</v>
      </c>
      <c r="AZ95" s="5">
        <v>38.5</v>
      </c>
      <c r="BA95" s="5">
        <v>9.1000000000000004E-3</v>
      </c>
      <c r="BB95" s="1">
        <v>9.1000000000000004E-3</v>
      </c>
    </row>
    <row r="96" spans="1:54" x14ac:dyDescent="0.25">
      <c r="A96" s="1" t="s">
        <v>95</v>
      </c>
      <c r="B96" s="1" t="s">
        <v>202</v>
      </c>
      <c r="C96" s="1">
        <v>22</v>
      </c>
      <c r="D96" s="1">
        <v>800</v>
      </c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>
        <v>42</v>
      </c>
      <c r="U96" s="1">
        <v>55</v>
      </c>
      <c r="V96" s="1">
        <v>72</v>
      </c>
      <c r="W96" s="1">
        <v>49</v>
      </c>
      <c r="X96" s="1">
        <v>45</v>
      </c>
      <c r="Y96" s="1">
        <v>65</v>
      </c>
      <c r="Z96" s="1"/>
      <c r="AA96" s="1"/>
      <c r="AB96" s="1"/>
      <c r="AC96" s="1"/>
      <c r="AD96" s="1"/>
      <c r="AE96" s="1"/>
      <c r="AF96" s="1">
        <v>36</v>
      </c>
      <c r="AG96" s="1">
        <v>53</v>
      </c>
      <c r="AH96" s="1">
        <v>54</v>
      </c>
      <c r="AI96" s="5">
        <f t="shared" ref="AI96:AI107" si="5">AVERAGE(AF96:AH96)</f>
        <v>47.666666666666664</v>
      </c>
      <c r="AJ96" s="5">
        <v>47.666666666666664</v>
      </c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11.8</v>
      </c>
      <c r="BA96" s="5">
        <v>5.1000000000000004E-3</v>
      </c>
      <c r="BB96" s="1">
        <v>5.1000000000000004E-3</v>
      </c>
    </row>
    <row r="97" spans="1:54" x14ac:dyDescent="0.25">
      <c r="A97" s="1" t="s">
        <v>96</v>
      </c>
      <c r="B97" s="1" t="s">
        <v>202</v>
      </c>
      <c r="C97" s="1">
        <v>22</v>
      </c>
      <c r="D97" s="1">
        <v>800</v>
      </c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>
        <v>34</v>
      </c>
      <c r="U97" s="1">
        <v>15</v>
      </c>
      <c r="V97" s="1">
        <v>49</v>
      </c>
      <c r="W97" s="1">
        <v>47</v>
      </c>
      <c r="X97" s="1">
        <v>45</v>
      </c>
      <c r="Y97" s="1">
        <v>32</v>
      </c>
      <c r="Z97" s="1"/>
      <c r="AA97" s="1"/>
      <c r="AB97" s="1"/>
      <c r="AC97" s="1"/>
      <c r="AD97" s="1"/>
      <c r="AE97" s="1"/>
      <c r="AF97" s="1">
        <v>6</v>
      </c>
      <c r="AG97" s="1">
        <v>46</v>
      </c>
      <c r="AH97" s="1">
        <v>34</v>
      </c>
      <c r="AI97" s="5">
        <f t="shared" si="5"/>
        <v>28.666666666666668</v>
      </c>
      <c r="AJ97" s="5">
        <v>28.666666666666668</v>
      </c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20.5</v>
      </c>
      <c r="BA97" s="5">
        <v>6.4000000000000003E-3</v>
      </c>
      <c r="BB97" s="1">
        <v>6.4000000000000003E-3</v>
      </c>
    </row>
    <row r="98" spans="1:54" x14ac:dyDescent="0.25">
      <c r="A98" s="1" t="s">
        <v>97</v>
      </c>
      <c r="B98" s="1" t="s">
        <v>202</v>
      </c>
      <c r="C98" s="1">
        <v>22</v>
      </c>
      <c r="D98" s="1">
        <v>800</v>
      </c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>
        <v>52</v>
      </c>
      <c r="U98" s="1">
        <v>25</v>
      </c>
      <c r="V98" s="1">
        <v>44</v>
      </c>
      <c r="W98" s="1">
        <v>51</v>
      </c>
      <c r="X98" s="1">
        <v>44</v>
      </c>
      <c r="Y98" s="1">
        <v>45</v>
      </c>
      <c r="Z98" s="1"/>
      <c r="AA98" s="1"/>
      <c r="AB98" s="1"/>
      <c r="AC98" s="1"/>
      <c r="AD98" s="1"/>
      <c r="AE98" s="1"/>
      <c r="AF98" s="1">
        <v>12</v>
      </c>
      <c r="AG98" s="1">
        <v>45</v>
      </c>
      <c r="AH98" s="1">
        <v>24</v>
      </c>
      <c r="AI98" s="5">
        <f t="shared" si="5"/>
        <v>27</v>
      </c>
      <c r="AJ98" s="5">
        <v>27</v>
      </c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15.8</v>
      </c>
      <c r="BA98" s="5">
        <v>5.7999999999999996E-3</v>
      </c>
      <c r="BB98" s="1">
        <v>5.7999999999999996E-3</v>
      </c>
    </row>
    <row r="99" spans="1:54" x14ac:dyDescent="0.25">
      <c r="A99" s="1" t="s">
        <v>98</v>
      </c>
      <c r="B99" s="1" t="s">
        <v>202</v>
      </c>
      <c r="C99" s="1">
        <v>28</v>
      </c>
      <c r="D99" s="1">
        <v>400</v>
      </c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>
        <v>21</v>
      </c>
      <c r="U99" s="1">
        <v>28</v>
      </c>
      <c r="V99" s="1">
        <v>47</v>
      </c>
      <c r="W99" s="1">
        <v>24</v>
      </c>
      <c r="X99" s="1">
        <v>20</v>
      </c>
      <c r="Y99" s="1">
        <v>23</v>
      </c>
      <c r="Z99" s="1"/>
      <c r="AA99" s="1"/>
      <c r="AB99" s="1"/>
      <c r="AC99" s="1"/>
      <c r="AD99" s="1"/>
      <c r="AE99" s="1"/>
      <c r="AF99" s="1">
        <v>9</v>
      </c>
      <c r="AG99" s="1">
        <v>48</v>
      </c>
      <c r="AH99" s="1">
        <v>8</v>
      </c>
      <c r="AI99" s="5">
        <f t="shared" si="5"/>
        <v>21.666666666666668</v>
      </c>
      <c r="AJ99" s="5">
        <v>21.666666666666668</v>
      </c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>
        <v>20.399999999999999</v>
      </c>
      <c r="BA99" s="5">
        <v>3.0000000000000001E-3</v>
      </c>
      <c r="BB99" s="1">
        <v>3.0000000000000001E-3</v>
      </c>
    </row>
    <row r="100" spans="1:54" x14ac:dyDescent="0.25">
      <c r="A100" s="1" t="s">
        <v>99</v>
      </c>
      <c r="B100" s="1" t="s">
        <v>202</v>
      </c>
      <c r="C100" s="1">
        <v>28</v>
      </c>
      <c r="D100" s="1">
        <v>400</v>
      </c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>
        <v>8</v>
      </c>
      <c r="U100" s="1">
        <v>22</v>
      </c>
      <c r="V100" s="1">
        <v>40</v>
      </c>
      <c r="W100" s="1">
        <v>27</v>
      </c>
      <c r="X100" s="1">
        <v>24</v>
      </c>
      <c r="Y100" s="1">
        <v>44</v>
      </c>
      <c r="Z100" s="1"/>
      <c r="AA100" s="1"/>
      <c r="AB100" s="1"/>
      <c r="AC100" s="1"/>
      <c r="AD100" s="1"/>
      <c r="AE100" s="1"/>
      <c r="AF100" s="1">
        <v>19</v>
      </c>
      <c r="AG100" s="1">
        <v>38</v>
      </c>
      <c r="AH100" s="1">
        <v>45</v>
      </c>
      <c r="AI100" s="5">
        <f t="shared" si="5"/>
        <v>34</v>
      </c>
      <c r="AJ100" s="5">
        <v>34</v>
      </c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>
        <v>9.6999999999999993</v>
      </c>
      <c r="BA100" s="5">
        <v>4.0000000000000001E-3</v>
      </c>
      <c r="BB100" s="1">
        <v>4.0000000000000001E-3</v>
      </c>
    </row>
    <row r="101" spans="1:54" x14ac:dyDescent="0.25">
      <c r="A101" s="1" t="s">
        <v>100</v>
      </c>
      <c r="B101" s="1" t="s">
        <v>202</v>
      </c>
      <c r="C101" s="1">
        <v>28</v>
      </c>
      <c r="D101" s="1">
        <v>400</v>
      </c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>
        <v>57</v>
      </c>
      <c r="U101" s="1">
        <v>32</v>
      </c>
      <c r="V101" s="1">
        <v>34</v>
      </c>
      <c r="W101" s="1">
        <v>23</v>
      </c>
      <c r="X101" s="1">
        <v>59</v>
      </c>
      <c r="Y101" s="1">
        <v>25</v>
      </c>
      <c r="Z101" s="1"/>
      <c r="AA101" s="1"/>
      <c r="AB101" s="1"/>
      <c r="AC101" s="1"/>
      <c r="AD101" s="1"/>
      <c r="AE101" s="1"/>
      <c r="AF101" s="1">
        <v>48</v>
      </c>
      <c r="AG101" s="1">
        <v>59</v>
      </c>
      <c r="AH101" s="1">
        <v>23</v>
      </c>
      <c r="AI101" s="5">
        <f t="shared" si="5"/>
        <v>43.333333333333336</v>
      </c>
      <c r="AJ101" s="5">
        <v>43.333333333333336</v>
      </c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>
        <v>24.1</v>
      </c>
      <c r="BA101" s="5">
        <v>2.5999999999999999E-3</v>
      </c>
      <c r="BB101" s="1">
        <v>2.5999999999999999E-3</v>
      </c>
    </row>
    <row r="102" spans="1:54" x14ac:dyDescent="0.25">
      <c r="A102" s="1" t="s">
        <v>101</v>
      </c>
      <c r="B102" s="1" t="s">
        <v>202</v>
      </c>
      <c r="C102" s="1">
        <v>22</v>
      </c>
      <c r="D102" s="1">
        <v>400</v>
      </c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>
        <v>47</v>
      </c>
      <c r="U102" s="1">
        <v>48</v>
      </c>
      <c r="V102" s="1">
        <v>72</v>
      </c>
      <c r="W102" s="1">
        <v>24</v>
      </c>
      <c r="X102" s="2">
        <v>20</v>
      </c>
      <c r="Y102" s="2">
        <v>23</v>
      </c>
      <c r="Z102" s="1"/>
      <c r="AA102" s="1"/>
      <c r="AB102" s="1"/>
      <c r="AC102" s="1"/>
      <c r="AD102" s="1"/>
      <c r="AE102" s="1"/>
      <c r="AF102" s="2">
        <v>24</v>
      </c>
      <c r="AG102" s="2">
        <v>45</v>
      </c>
      <c r="AH102" s="2">
        <v>29</v>
      </c>
      <c r="AI102" s="5">
        <f t="shared" si="5"/>
        <v>32.666666666666664</v>
      </c>
      <c r="AJ102" s="5">
        <v>32.666666666666664</v>
      </c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>
        <v>34.799999999999997</v>
      </c>
      <c r="BA102" s="5">
        <v>1.4500000000000001E-2</v>
      </c>
      <c r="BB102" s="1">
        <v>1.4500000000000001E-2</v>
      </c>
    </row>
    <row r="103" spans="1:54" x14ac:dyDescent="0.25">
      <c r="A103" s="1" t="s">
        <v>102</v>
      </c>
      <c r="B103" s="1" t="s">
        <v>202</v>
      </c>
      <c r="C103" s="1">
        <v>22</v>
      </c>
      <c r="D103" s="1">
        <v>400</v>
      </c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>
        <v>36</v>
      </c>
      <c r="U103" s="1">
        <v>40</v>
      </c>
      <c r="V103" s="1">
        <v>42</v>
      </c>
      <c r="W103" s="1">
        <v>27</v>
      </c>
      <c r="X103" s="2">
        <v>24</v>
      </c>
      <c r="Y103" s="2">
        <v>44</v>
      </c>
      <c r="Z103" s="1"/>
      <c r="AA103" s="1"/>
      <c r="AB103" s="1"/>
      <c r="AC103" s="1"/>
      <c r="AD103" s="1"/>
      <c r="AE103" s="1"/>
      <c r="AF103" s="2">
        <v>25</v>
      </c>
      <c r="AG103" s="2">
        <v>44</v>
      </c>
      <c r="AH103" s="2">
        <v>39</v>
      </c>
      <c r="AI103" s="5">
        <f t="shared" si="5"/>
        <v>36</v>
      </c>
      <c r="AJ103" s="5">
        <v>36</v>
      </c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>
        <v>29.3</v>
      </c>
      <c r="BA103" s="5">
        <v>8.8000000000000005E-3</v>
      </c>
      <c r="BB103" s="1">
        <v>8.8000000000000005E-3</v>
      </c>
    </row>
    <row r="104" spans="1:54" x14ac:dyDescent="0.25">
      <c r="A104" s="1" t="s">
        <v>103</v>
      </c>
      <c r="B104" s="1" t="s">
        <v>202</v>
      </c>
      <c r="C104" s="1">
        <v>22</v>
      </c>
      <c r="D104" s="1">
        <v>400</v>
      </c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>
        <v>63</v>
      </c>
      <c r="U104" s="1">
        <v>56</v>
      </c>
      <c r="V104" s="1">
        <v>60</v>
      </c>
      <c r="W104" s="1">
        <v>23</v>
      </c>
      <c r="X104" s="2">
        <v>59</v>
      </c>
      <c r="Y104" s="2">
        <v>25</v>
      </c>
      <c r="Z104" s="1"/>
      <c r="AA104" s="1"/>
      <c r="AB104" s="1"/>
      <c r="AC104" s="1"/>
      <c r="AD104" s="1"/>
      <c r="AE104" s="1"/>
      <c r="AF104" s="2">
        <v>60</v>
      </c>
      <c r="AG104" s="2">
        <v>58</v>
      </c>
      <c r="AH104" s="2">
        <v>57</v>
      </c>
      <c r="AI104" s="5">
        <f t="shared" si="5"/>
        <v>58.333333333333336</v>
      </c>
      <c r="AJ104" s="5">
        <v>58.333333333333336</v>
      </c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>
        <v>29.6</v>
      </c>
      <c r="BA104" s="5">
        <v>1.01E-2</v>
      </c>
      <c r="BB104" s="1">
        <v>1.01E-2</v>
      </c>
    </row>
    <row r="105" spans="1:54" x14ac:dyDescent="0.25">
      <c r="A105" s="1" t="s">
        <v>104</v>
      </c>
      <c r="B105" s="1" t="s">
        <v>202</v>
      </c>
      <c r="C105" s="1">
        <v>28</v>
      </c>
      <c r="D105" s="1">
        <v>800</v>
      </c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>
        <v>56</v>
      </c>
      <c r="U105" s="1">
        <v>56</v>
      </c>
      <c r="V105" s="1">
        <v>62</v>
      </c>
      <c r="W105" s="1">
        <v>54</v>
      </c>
      <c r="X105" s="1">
        <v>72</v>
      </c>
      <c r="Y105" s="1">
        <v>50</v>
      </c>
      <c r="Z105" s="1"/>
      <c r="AA105" s="1"/>
      <c r="AB105" s="1"/>
      <c r="AC105" s="1"/>
      <c r="AD105" s="1"/>
      <c r="AE105" s="1"/>
      <c r="AF105" s="1">
        <v>99</v>
      </c>
      <c r="AG105" s="1">
        <v>68</v>
      </c>
      <c r="AH105" s="1">
        <v>71</v>
      </c>
      <c r="AI105" s="5">
        <f t="shared" si="5"/>
        <v>79.333333333333329</v>
      </c>
      <c r="AJ105" s="5">
        <v>79.333333333333329</v>
      </c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>
        <v>24.4</v>
      </c>
      <c r="BA105" s="5">
        <v>8.3000000000000001E-3</v>
      </c>
      <c r="BB105" s="1">
        <v>8.3000000000000001E-3</v>
      </c>
    </row>
    <row r="106" spans="1:54" x14ac:dyDescent="0.25">
      <c r="A106" s="1" t="s">
        <v>105</v>
      </c>
      <c r="B106" s="1" t="s">
        <v>202</v>
      </c>
      <c r="C106" s="1">
        <v>28</v>
      </c>
      <c r="D106" s="1">
        <v>800</v>
      </c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>
        <v>55</v>
      </c>
      <c r="U106" s="1">
        <v>68</v>
      </c>
      <c r="V106" s="1">
        <v>66</v>
      </c>
      <c r="W106" s="1">
        <v>67</v>
      </c>
      <c r="X106" s="1">
        <v>51</v>
      </c>
      <c r="Y106" s="1">
        <v>83</v>
      </c>
      <c r="Z106" s="1"/>
      <c r="AA106" s="1"/>
      <c r="AB106" s="1"/>
      <c r="AC106" s="1"/>
      <c r="AD106" s="1"/>
      <c r="AE106" s="1"/>
      <c r="AF106" s="1">
        <v>65</v>
      </c>
      <c r="AG106" s="1">
        <v>85</v>
      </c>
      <c r="AH106" s="1">
        <v>71</v>
      </c>
      <c r="AI106" s="5">
        <f t="shared" si="5"/>
        <v>73.666666666666671</v>
      </c>
      <c r="AJ106" s="5">
        <v>73.666666666666671</v>
      </c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>
        <v>21.4</v>
      </c>
      <c r="BA106" s="5">
        <v>8.3999999999999995E-3</v>
      </c>
      <c r="BB106" s="1">
        <v>8.3999999999999995E-3</v>
      </c>
    </row>
    <row r="107" spans="1:54" x14ac:dyDescent="0.25">
      <c r="A107" s="1" t="s">
        <v>106</v>
      </c>
      <c r="B107" s="1" t="s">
        <v>202</v>
      </c>
      <c r="C107" s="1">
        <v>28</v>
      </c>
      <c r="D107" s="1">
        <v>800</v>
      </c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>
        <v>61</v>
      </c>
      <c r="U107" s="1">
        <v>44</v>
      </c>
      <c r="V107" s="1">
        <v>51</v>
      </c>
      <c r="W107" s="1">
        <v>83</v>
      </c>
      <c r="X107" s="1">
        <v>79</v>
      </c>
      <c r="Y107" s="1">
        <v>62</v>
      </c>
      <c r="Z107" s="1"/>
      <c r="AA107" s="1"/>
      <c r="AB107" s="1"/>
      <c r="AC107" s="1"/>
      <c r="AD107" s="1"/>
      <c r="AE107" s="1"/>
      <c r="AF107" s="1">
        <v>102</v>
      </c>
      <c r="AG107" s="1">
        <v>77</v>
      </c>
      <c r="AH107" s="1">
        <v>86</v>
      </c>
      <c r="AI107" s="5">
        <f t="shared" si="5"/>
        <v>88.333333333333329</v>
      </c>
      <c r="AJ107" s="5">
        <v>88.333333333333329</v>
      </c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>
        <v>24.9</v>
      </c>
      <c r="BA107" s="5">
        <v>7.7999999999999996E-3</v>
      </c>
      <c r="BB107" s="1">
        <v>7.7999999999999996E-3</v>
      </c>
    </row>
    <row r="108" spans="1:54" x14ac:dyDescent="0.25">
      <c r="A108" s="1" t="s">
        <v>107</v>
      </c>
      <c r="B108" s="1" t="s">
        <v>203</v>
      </c>
      <c r="C108" s="1">
        <v>28</v>
      </c>
      <c r="D108" s="1">
        <v>400</v>
      </c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>
        <v>47</v>
      </c>
      <c r="R108" s="1">
        <v>34</v>
      </c>
      <c r="S108" s="1">
        <v>31</v>
      </c>
      <c r="T108" s="1"/>
      <c r="U108" s="1"/>
      <c r="V108" s="1"/>
      <c r="W108" s="1"/>
      <c r="X108" s="1"/>
      <c r="Y108" s="1"/>
      <c r="Z108" s="1">
        <v>59</v>
      </c>
      <c r="AA108" s="1">
        <v>49</v>
      </c>
      <c r="AB108" s="1">
        <v>29</v>
      </c>
      <c r="AC108" s="1"/>
      <c r="AD108" s="1"/>
      <c r="AE108" s="1"/>
      <c r="AF108" s="1"/>
      <c r="AG108" s="1"/>
      <c r="AH108" s="1"/>
      <c r="AI108" s="5">
        <v>45.67</v>
      </c>
      <c r="AJ108" s="5">
        <v>44.33</v>
      </c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>
        <v>9.7200000000000006</v>
      </c>
      <c r="BA108" s="5">
        <v>1.54</v>
      </c>
      <c r="BB108" s="1">
        <v>5.3E-3</v>
      </c>
    </row>
    <row r="109" spans="1:54" x14ac:dyDescent="0.25">
      <c r="A109" s="1" t="s">
        <v>108</v>
      </c>
      <c r="B109" s="1" t="s">
        <v>203</v>
      </c>
      <c r="C109" s="1">
        <v>28</v>
      </c>
      <c r="D109" s="1">
        <v>400</v>
      </c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>
        <v>53</v>
      </c>
      <c r="R109" s="1">
        <v>38</v>
      </c>
      <c r="S109" s="1">
        <v>32</v>
      </c>
      <c r="T109" s="1"/>
      <c r="U109" s="1"/>
      <c r="V109" s="1"/>
      <c r="W109" s="1"/>
      <c r="X109" s="1"/>
      <c r="Y109" s="1"/>
      <c r="Z109" s="1">
        <v>49</v>
      </c>
      <c r="AA109" s="1">
        <v>39</v>
      </c>
      <c r="AB109" s="1">
        <v>38</v>
      </c>
      <c r="AC109" s="1"/>
      <c r="AD109" s="1"/>
      <c r="AE109" s="1"/>
      <c r="AF109" s="1"/>
      <c r="AG109" s="1"/>
      <c r="AH109" s="1"/>
      <c r="AI109" s="5">
        <v>42</v>
      </c>
      <c r="AJ109" s="5">
        <v>48</v>
      </c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>
        <v>4.8499999999999996</v>
      </c>
      <c r="BA109" s="5">
        <v>0.75</v>
      </c>
      <c r="BB109" s="1">
        <v>6.1999999999999998E-3</v>
      </c>
    </row>
    <row r="110" spans="1:54" x14ac:dyDescent="0.25">
      <c r="A110" s="1" t="s">
        <v>109</v>
      </c>
      <c r="B110" s="1" t="s">
        <v>203</v>
      </c>
      <c r="C110" s="1">
        <v>28</v>
      </c>
      <c r="D110" s="1">
        <v>400</v>
      </c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>
        <v>55</v>
      </c>
      <c r="R110" s="1">
        <v>39</v>
      </c>
      <c r="S110" s="1">
        <v>32</v>
      </c>
      <c r="T110" s="1"/>
      <c r="U110" s="1"/>
      <c r="V110" s="1"/>
      <c r="W110" s="1"/>
      <c r="X110" s="1"/>
      <c r="Y110" s="1"/>
      <c r="Z110" s="1">
        <v>36</v>
      </c>
      <c r="AA110" s="1">
        <v>42</v>
      </c>
      <c r="AB110" s="1">
        <v>39</v>
      </c>
      <c r="AC110" s="1"/>
      <c r="AD110" s="1"/>
      <c r="AE110" s="1"/>
      <c r="AF110" s="1"/>
      <c r="AG110" s="1"/>
      <c r="AH110" s="1"/>
      <c r="AI110" s="5">
        <v>39</v>
      </c>
      <c r="AJ110" s="5">
        <v>51</v>
      </c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>
        <v>4.57</v>
      </c>
      <c r="BA110" s="5">
        <v>0.81</v>
      </c>
      <c r="BB110" s="1">
        <v>6.7999999999999996E-3</v>
      </c>
    </row>
    <row r="111" spans="1:54" x14ac:dyDescent="0.25">
      <c r="A111" s="1" t="s">
        <v>110</v>
      </c>
      <c r="B111" s="1" t="s">
        <v>203</v>
      </c>
      <c r="C111" s="1">
        <v>28</v>
      </c>
      <c r="D111" s="1">
        <v>400</v>
      </c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>
        <v>55</v>
      </c>
      <c r="R111" s="1">
        <v>34</v>
      </c>
      <c r="S111" s="1">
        <v>31</v>
      </c>
      <c r="T111" s="1"/>
      <c r="U111" s="1"/>
      <c r="V111" s="1"/>
      <c r="W111" s="1"/>
      <c r="X111" s="1"/>
      <c r="Y111" s="1"/>
      <c r="Z111" s="1">
        <v>68</v>
      </c>
      <c r="AA111" s="1">
        <v>46</v>
      </c>
      <c r="AB111" s="1">
        <v>42</v>
      </c>
      <c r="AC111" s="1"/>
      <c r="AD111" s="1"/>
      <c r="AE111" s="1"/>
      <c r="AF111" s="1"/>
      <c r="AG111" s="1"/>
      <c r="AH111" s="1"/>
      <c r="AI111" s="5">
        <v>52</v>
      </c>
      <c r="AJ111" s="5">
        <v>38</v>
      </c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>
        <v>7</v>
      </c>
      <c r="BA111" s="5">
        <v>1.01</v>
      </c>
      <c r="BB111" s="1">
        <v>4.8999999999999998E-3</v>
      </c>
    </row>
    <row r="112" spans="1:54" x14ac:dyDescent="0.25">
      <c r="A112" s="1" t="s">
        <v>111</v>
      </c>
      <c r="B112" s="1" t="s">
        <v>203</v>
      </c>
      <c r="C112" s="1">
        <v>28</v>
      </c>
      <c r="D112" s="1">
        <v>400</v>
      </c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>
        <v>43</v>
      </c>
      <c r="R112" s="1">
        <v>33</v>
      </c>
      <c r="S112" s="1">
        <v>32</v>
      </c>
      <c r="T112" s="1"/>
      <c r="U112" s="1"/>
      <c r="V112" s="1"/>
      <c r="W112" s="1"/>
      <c r="X112" s="1"/>
      <c r="Y112" s="1"/>
      <c r="Z112" s="1">
        <v>51</v>
      </c>
      <c r="AA112" s="1">
        <v>51</v>
      </c>
      <c r="AB112" s="1">
        <v>43</v>
      </c>
      <c r="AC112" s="1"/>
      <c r="AD112" s="1"/>
      <c r="AE112" s="1"/>
      <c r="AF112" s="1"/>
      <c r="AG112" s="1"/>
      <c r="AH112" s="1"/>
      <c r="AI112" s="5">
        <v>48.33</v>
      </c>
      <c r="AJ112" s="5">
        <v>41.67</v>
      </c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>
        <v>5.07</v>
      </c>
      <c r="BA112" s="5">
        <v>0.78</v>
      </c>
      <c r="BB112" s="1">
        <v>6.4000000000000003E-3</v>
      </c>
    </row>
    <row r="113" spans="1:54" x14ac:dyDescent="0.25">
      <c r="A113" s="1" t="s">
        <v>112</v>
      </c>
      <c r="B113" s="1" t="s">
        <v>203</v>
      </c>
      <c r="C113" s="1">
        <v>36</v>
      </c>
      <c r="D113" s="1">
        <v>800</v>
      </c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>
        <v>59</v>
      </c>
      <c r="AA113" s="1">
        <v>49</v>
      </c>
      <c r="AB113" s="1">
        <v>49</v>
      </c>
      <c r="AC113" s="1"/>
      <c r="AD113" s="1"/>
      <c r="AE113" s="1"/>
      <c r="AF113" s="1"/>
      <c r="AG113" s="1"/>
      <c r="AH113" s="1"/>
      <c r="AI113" s="5">
        <v>52.33</v>
      </c>
      <c r="AJ113" s="5">
        <v>37.67</v>
      </c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>
        <v>2.1800000000000002</v>
      </c>
      <c r="BA113" s="5">
        <v>0.55000000000000004</v>
      </c>
      <c r="BB113" s="1">
        <v>1.26E-2</v>
      </c>
    </row>
    <row r="114" spans="1:54" x14ac:dyDescent="0.25">
      <c r="A114" s="1" t="s">
        <v>113</v>
      </c>
      <c r="B114" s="1" t="s">
        <v>203</v>
      </c>
      <c r="C114" s="1">
        <v>36</v>
      </c>
      <c r="D114" s="1">
        <v>800</v>
      </c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>
        <v>69</v>
      </c>
      <c r="AA114" s="1">
        <v>69</v>
      </c>
      <c r="AB114" s="1">
        <v>32</v>
      </c>
      <c r="AC114" s="1"/>
      <c r="AD114" s="1"/>
      <c r="AE114" s="1"/>
      <c r="AF114" s="1"/>
      <c r="AG114" s="1"/>
      <c r="AH114" s="1"/>
      <c r="AI114" s="5">
        <v>56.67</v>
      </c>
      <c r="AJ114" s="5">
        <v>33.33</v>
      </c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>
        <v>1.22</v>
      </c>
      <c r="BA114" s="5">
        <v>0.3</v>
      </c>
      <c r="BB114" s="1">
        <v>1.04E-2</v>
      </c>
    </row>
    <row r="115" spans="1:54" x14ac:dyDescent="0.25">
      <c r="A115" s="1" t="s">
        <v>114</v>
      </c>
      <c r="B115" s="1" t="s">
        <v>203</v>
      </c>
      <c r="C115" s="1">
        <v>36</v>
      </c>
      <c r="D115" s="1">
        <v>800</v>
      </c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>
        <v>56</v>
      </c>
      <c r="AA115" s="1">
        <v>39</v>
      </c>
      <c r="AB115" s="1">
        <v>31</v>
      </c>
      <c r="AC115" s="1"/>
      <c r="AD115" s="1"/>
      <c r="AE115" s="1"/>
      <c r="AF115" s="1"/>
      <c r="AG115" s="1"/>
      <c r="AH115" s="1"/>
      <c r="AI115" s="5">
        <v>42</v>
      </c>
      <c r="AJ115" s="5">
        <v>48</v>
      </c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>
        <v>1.63</v>
      </c>
      <c r="BA115" s="5">
        <v>0.35</v>
      </c>
      <c r="BB115" s="1">
        <v>8.3000000000000001E-3</v>
      </c>
    </row>
    <row r="116" spans="1:54" x14ac:dyDescent="0.25">
      <c r="A116" s="1" t="s">
        <v>115</v>
      </c>
      <c r="B116" s="1" t="s">
        <v>203</v>
      </c>
      <c r="C116" s="1">
        <v>36</v>
      </c>
      <c r="D116" s="1">
        <v>800</v>
      </c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>
        <v>54</v>
      </c>
      <c r="AA116" s="1">
        <v>49</v>
      </c>
      <c r="AB116" s="1">
        <v>26</v>
      </c>
      <c r="AC116" s="1"/>
      <c r="AD116" s="1"/>
      <c r="AE116" s="1"/>
      <c r="AF116" s="1"/>
      <c r="AG116" s="1"/>
      <c r="AH116" s="1"/>
      <c r="AI116" s="5">
        <v>43</v>
      </c>
      <c r="AJ116" s="5">
        <v>47</v>
      </c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>
        <v>2.5099999999999998</v>
      </c>
      <c r="BA116" s="5">
        <v>0.55000000000000004</v>
      </c>
      <c r="BB116" s="1">
        <v>9.1000000000000004E-3</v>
      </c>
    </row>
    <row r="117" spans="1:54" x14ac:dyDescent="0.25">
      <c r="A117" s="1" t="s">
        <v>116</v>
      </c>
      <c r="B117" s="1" t="s">
        <v>203</v>
      </c>
      <c r="C117" s="1">
        <v>36</v>
      </c>
      <c r="D117" s="1">
        <v>800</v>
      </c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1"/>
    </row>
    <row r="118" spans="1:54" x14ac:dyDescent="0.25">
      <c r="A118" s="1" t="s">
        <v>117</v>
      </c>
      <c r="B118" s="1" t="s">
        <v>203</v>
      </c>
      <c r="C118" s="1">
        <v>28</v>
      </c>
      <c r="D118" s="1">
        <v>800</v>
      </c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>
        <v>34</v>
      </c>
      <c r="R118" s="1">
        <v>28</v>
      </c>
      <c r="S118" s="1">
        <v>26</v>
      </c>
      <c r="T118" s="1"/>
      <c r="U118" s="1"/>
      <c r="V118" s="1"/>
      <c r="W118" s="1"/>
      <c r="X118" s="1"/>
      <c r="Y118" s="1"/>
      <c r="Z118" s="1">
        <v>49</v>
      </c>
      <c r="AA118" s="1">
        <v>42</v>
      </c>
      <c r="AB118" s="1">
        <v>28</v>
      </c>
      <c r="AC118" s="1"/>
      <c r="AD118" s="1"/>
      <c r="AE118" s="1"/>
      <c r="AF118" s="1"/>
      <c r="AG118" s="1"/>
      <c r="AH118" s="1"/>
      <c r="AI118" s="5">
        <v>39.67</v>
      </c>
      <c r="AJ118" s="5">
        <v>50.33</v>
      </c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>
        <v>15.28</v>
      </c>
      <c r="BA118" s="5">
        <v>0.98</v>
      </c>
      <c r="BB118" s="1">
        <v>1.23E-2</v>
      </c>
    </row>
    <row r="119" spans="1:54" x14ac:dyDescent="0.25">
      <c r="A119" s="1" t="s">
        <v>118</v>
      </c>
      <c r="B119" s="1" t="s">
        <v>203</v>
      </c>
      <c r="C119" s="1">
        <v>28</v>
      </c>
      <c r="D119" s="1">
        <v>800</v>
      </c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>
        <v>33</v>
      </c>
      <c r="R119" s="1">
        <v>28</v>
      </c>
      <c r="S119" s="1">
        <v>26</v>
      </c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1"/>
    </row>
    <row r="120" spans="1:54" x14ac:dyDescent="0.25">
      <c r="A120" s="1" t="s">
        <v>119</v>
      </c>
      <c r="B120" s="1" t="s">
        <v>203</v>
      </c>
      <c r="C120" s="1">
        <v>28</v>
      </c>
      <c r="D120" s="1">
        <v>800</v>
      </c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>
        <v>41</v>
      </c>
      <c r="R120" s="1">
        <v>28</v>
      </c>
      <c r="S120" s="1">
        <v>26</v>
      </c>
      <c r="T120" s="1"/>
      <c r="U120" s="1"/>
      <c r="V120" s="1"/>
      <c r="W120" s="1"/>
      <c r="X120" s="1"/>
      <c r="Y120" s="1"/>
      <c r="Z120" s="1">
        <v>40</v>
      </c>
      <c r="AA120" s="1">
        <v>34</v>
      </c>
      <c r="AB120" s="1">
        <v>26</v>
      </c>
      <c r="AC120" s="1"/>
      <c r="AD120" s="1"/>
      <c r="AE120" s="1"/>
      <c r="AF120" s="1"/>
      <c r="AG120" s="1"/>
      <c r="AH120" s="1"/>
      <c r="AI120" s="5">
        <v>33.33</v>
      </c>
      <c r="AJ120" s="5">
        <v>56.67</v>
      </c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>
        <v>11.09</v>
      </c>
      <c r="BA120" s="5">
        <v>1.01</v>
      </c>
      <c r="BB120" s="1">
        <v>1.15E-2</v>
      </c>
    </row>
    <row r="121" spans="1:54" x14ac:dyDescent="0.25">
      <c r="A121" s="1" t="s">
        <v>120</v>
      </c>
      <c r="B121" s="1" t="s">
        <v>203</v>
      </c>
      <c r="C121" s="1">
        <v>28</v>
      </c>
      <c r="D121" s="1">
        <v>800</v>
      </c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>
        <v>46</v>
      </c>
      <c r="R121" s="1">
        <v>29</v>
      </c>
      <c r="S121" s="1">
        <v>27</v>
      </c>
      <c r="T121" s="1"/>
      <c r="U121" s="1"/>
      <c r="V121" s="1"/>
      <c r="W121" s="1"/>
      <c r="X121" s="1"/>
      <c r="Y121" s="1"/>
      <c r="Z121" s="1">
        <v>38</v>
      </c>
      <c r="AA121" s="1">
        <v>32</v>
      </c>
      <c r="AB121" s="1">
        <v>26</v>
      </c>
      <c r="AC121" s="1"/>
      <c r="AD121" s="1"/>
      <c r="AE121" s="1"/>
      <c r="AF121" s="1"/>
      <c r="AG121" s="1"/>
      <c r="AH121" s="1"/>
      <c r="AI121" s="5">
        <v>32</v>
      </c>
      <c r="AJ121" s="5">
        <v>58</v>
      </c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>
        <v>2.35</v>
      </c>
      <c r="BA121" s="5">
        <v>0.52</v>
      </c>
      <c r="BB121" s="1">
        <v>1.1900000000000001E-2</v>
      </c>
    </row>
    <row r="122" spans="1:54" x14ac:dyDescent="0.25">
      <c r="A122" s="1" t="s">
        <v>121</v>
      </c>
      <c r="B122" s="1" t="s">
        <v>203</v>
      </c>
      <c r="C122" s="1">
        <v>28</v>
      </c>
      <c r="D122" s="1">
        <v>800</v>
      </c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>
        <v>35</v>
      </c>
      <c r="R122" s="1">
        <v>25</v>
      </c>
      <c r="S122" s="1">
        <v>24</v>
      </c>
      <c r="T122" s="1"/>
      <c r="U122" s="1"/>
      <c r="V122" s="1"/>
      <c r="W122" s="1"/>
      <c r="X122" s="1"/>
      <c r="Y122" s="1"/>
      <c r="Z122" s="1">
        <v>35</v>
      </c>
      <c r="AA122" s="1">
        <v>30</v>
      </c>
      <c r="AB122" s="1">
        <v>25</v>
      </c>
      <c r="AC122" s="1"/>
      <c r="AD122" s="1"/>
      <c r="AE122" s="1"/>
      <c r="AF122" s="1"/>
      <c r="AG122" s="1"/>
      <c r="AH122" s="1"/>
      <c r="AI122" s="5">
        <v>30</v>
      </c>
      <c r="AJ122" s="5">
        <v>60</v>
      </c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>
        <v>4.2699999999999996</v>
      </c>
      <c r="BA122" s="5">
        <v>0.84</v>
      </c>
      <c r="BB122" s="1">
        <v>1.21E-2</v>
      </c>
    </row>
    <row r="123" spans="1:54" x14ac:dyDescent="0.25">
      <c r="A123" s="1" t="s">
        <v>122</v>
      </c>
      <c r="B123" s="1" t="s">
        <v>203</v>
      </c>
      <c r="C123" s="1">
        <v>36</v>
      </c>
      <c r="D123" s="1">
        <v>400</v>
      </c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>
        <v>41</v>
      </c>
      <c r="R123" s="1">
        <v>35</v>
      </c>
      <c r="S123" s="1">
        <v>26</v>
      </c>
      <c r="T123" s="1"/>
      <c r="U123" s="1"/>
      <c r="V123" s="1"/>
      <c r="W123" s="1"/>
      <c r="X123" s="1"/>
      <c r="Y123" s="1"/>
      <c r="Z123" s="1">
        <v>47</v>
      </c>
      <c r="AA123" s="1">
        <v>37</v>
      </c>
      <c r="AB123" s="1">
        <v>25</v>
      </c>
      <c r="AC123" s="1"/>
      <c r="AD123" s="1"/>
      <c r="AE123" s="1"/>
      <c r="AF123" s="1"/>
      <c r="AG123" s="1"/>
      <c r="AH123" s="1"/>
      <c r="AI123" s="5">
        <v>36.33</v>
      </c>
      <c r="AJ123" s="5">
        <v>53.67</v>
      </c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>
        <v>2.0699999999999998</v>
      </c>
      <c r="BA123" s="5">
        <v>0.4</v>
      </c>
      <c r="BB123" s="1">
        <v>7.0000000000000001E-3</v>
      </c>
    </row>
    <row r="124" spans="1:54" x14ac:dyDescent="0.25">
      <c r="A124" s="1" t="s">
        <v>123</v>
      </c>
      <c r="B124" s="1" t="s">
        <v>203</v>
      </c>
      <c r="C124" s="1">
        <v>36</v>
      </c>
      <c r="D124" s="1">
        <v>400</v>
      </c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>
        <v>46</v>
      </c>
      <c r="R124" s="1">
        <v>33</v>
      </c>
      <c r="S124" s="1">
        <v>28</v>
      </c>
      <c r="T124" s="1"/>
      <c r="U124" s="1"/>
      <c r="V124" s="1"/>
      <c r="W124" s="1"/>
      <c r="X124" s="1"/>
      <c r="Y124" s="1"/>
      <c r="Z124" s="1">
        <v>39</v>
      </c>
      <c r="AA124" s="1">
        <v>30</v>
      </c>
      <c r="AB124" s="1">
        <v>21</v>
      </c>
      <c r="AC124" s="1"/>
      <c r="AD124" s="1"/>
      <c r="AE124" s="1"/>
      <c r="AF124" s="1"/>
      <c r="AG124" s="1"/>
      <c r="AH124" s="1"/>
      <c r="AI124" s="5">
        <v>30</v>
      </c>
      <c r="AJ124" s="5">
        <v>60</v>
      </c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>
        <v>1.72</v>
      </c>
      <c r="BA124" s="5">
        <v>0.34</v>
      </c>
      <c r="BB124" s="1">
        <v>8.3000000000000001E-3</v>
      </c>
    </row>
    <row r="125" spans="1:54" x14ac:dyDescent="0.25">
      <c r="A125" s="1" t="s">
        <v>124</v>
      </c>
      <c r="B125" s="1" t="s">
        <v>203</v>
      </c>
      <c r="C125" s="1">
        <v>36</v>
      </c>
      <c r="D125" s="1">
        <v>400</v>
      </c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>
        <v>58</v>
      </c>
      <c r="R125" s="1">
        <v>43</v>
      </c>
      <c r="S125" s="1">
        <v>30</v>
      </c>
      <c r="T125" s="1"/>
      <c r="U125" s="1"/>
      <c r="V125" s="1"/>
      <c r="W125" s="1"/>
      <c r="X125" s="1"/>
      <c r="Y125" s="1"/>
      <c r="Z125" s="1">
        <v>35</v>
      </c>
      <c r="AA125" s="1">
        <v>31</v>
      </c>
      <c r="AB125" s="1">
        <v>25</v>
      </c>
      <c r="AC125" s="1"/>
      <c r="AD125" s="1"/>
      <c r="AE125" s="1"/>
      <c r="AF125" s="1"/>
      <c r="AG125" s="1"/>
      <c r="AH125" s="1"/>
      <c r="AI125" s="5">
        <v>30.33</v>
      </c>
      <c r="AJ125" s="5">
        <v>59.67</v>
      </c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>
        <v>1.95</v>
      </c>
      <c r="BA125" s="5">
        <v>0.36</v>
      </c>
      <c r="BB125" s="1">
        <v>6.4999999999999997E-3</v>
      </c>
    </row>
    <row r="126" spans="1:54" x14ac:dyDescent="0.25">
      <c r="A126" s="1" t="s">
        <v>125</v>
      </c>
      <c r="B126" s="1" t="s">
        <v>203</v>
      </c>
      <c r="C126" s="1">
        <v>36</v>
      </c>
      <c r="D126" s="1">
        <v>400</v>
      </c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>
        <v>51</v>
      </c>
      <c r="R126" s="1">
        <v>34</v>
      </c>
      <c r="S126" s="1">
        <v>34</v>
      </c>
      <c r="T126" s="1"/>
      <c r="U126" s="1"/>
      <c r="V126" s="1"/>
      <c r="W126" s="1"/>
      <c r="X126" s="1"/>
      <c r="Y126" s="1"/>
      <c r="Z126" s="1">
        <v>42</v>
      </c>
      <c r="AA126" s="1">
        <v>39</v>
      </c>
      <c r="AB126" s="1">
        <v>33</v>
      </c>
      <c r="AC126" s="1"/>
      <c r="AD126" s="1"/>
      <c r="AE126" s="1"/>
      <c r="AF126" s="1"/>
      <c r="AG126" s="1"/>
      <c r="AH126" s="1"/>
      <c r="AI126" s="5">
        <v>38</v>
      </c>
      <c r="AJ126" s="5">
        <v>52</v>
      </c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>
        <v>3.79</v>
      </c>
      <c r="BA126" s="5">
        <v>0.76</v>
      </c>
      <c r="BB126" s="1">
        <v>7.3000000000000001E-3</v>
      </c>
    </row>
    <row r="127" spans="1:54" x14ac:dyDescent="0.25">
      <c r="A127" s="1" t="s">
        <v>126</v>
      </c>
      <c r="B127" s="1" t="s">
        <v>203</v>
      </c>
      <c r="C127" s="1">
        <v>36</v>
      </c>
      <c r="D127" s="1">
        <v>400</v>
      </c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>
        <v>53</v>
      </c>
      <c r="R127" s="1">
        <v>33</v>
      </c>
      <c r="S127" s="1">
        <v>31</v>
      </c>
      <c r="T127" s="1"/>
      <c r="U127" s="1"/>
      <c r="V127" s="1"/>
      <c r="W127" s="1"/>
      <c r="X127" s="1"/>
      <c r="Y127" s="1"/>
      <c r="Z127" s="1">
        <v>38</v>
      </c>
      <c r="AA127" s="1">
        <v>36</v>
      </c>
      <c r="AB127" s="1">
        <v>31</v>
      </c>
      <c r="AC127" s="1"/>
      <c r="AD127" s="1"/>
      <c r="AE127" s="1"/>
      <c r="AF127" s="1"/>
      <c r="AG127" s="1"/>
      <c r="AH127" s="1"/>
      <c r="AI127" s="5">
        <v>35</v>
      </c>
      <c r="AJ127" s="5">
        <v>55</v>
      </c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>
        <v>3.4</v>
      </c>
      <c r="BA127" s="5">
        <v>0.67</v>
      </c>
      <c r="BB127" s="1">
        <v>6.7999999999999996E-3</v>
      </c>
    </row>
    <row r="128" spans="1:54" x14ac:dyDescent="0.25">
      <c r="A128" s="1" t="s">
        <v>127</v>
      </c>
      <c r="B128" s="1" t="s">
        <v>204</v>
      </c>
      <c r="C128" s="1">
        <v>24</v>
      </c>
      <c r="D128" s="1">
        <v>400</v>
      </c>
      <c r="E128" s="1">
        <v>46</v>
      </c>
      <c r="F128" s="1">
        <v>43</v>
      </c>
      <c r="G128" s="1">
        <v>37</v>
      </c>
      <c r="H128" s="1">
        <v>54</v>
      </c>
      <c r="I128" s="1">
        <v>47</v>
      </c>
      <c r="J128" s="1">
        <v>40</v>
      </c>
      <c r="K128" s="1"/>
      <c r="L128" s="1"/>
      <c r="M128" s="1"/>
      <c r="N128" s="1">
        <v>54</v>
      </c>
      <c r="O128" s="1">
        <v>40</v>
      </c>
      <c r="P128" s="1">
        <v>44</v>
      </c>
      <c r="Q128" s="1"/>
      <c r="R128" s="1"/>
      <c r="S128" s="1"/>
      <c r="T128" s="1">
        <v>44</v>
      </c>
      <c r="U128" s="1">
        <v>46</v>
      </c>
      <c r="V128" s="1">
        <v>447</v>
      </c>
      <c r="W128" s="1"/>
      <c r="X128" s="1"/>
      <c r="Y128" s="1"/>
      <c r="Z128" s="1">
        <v>61</v>
      </c>
      <c r="AA128" s="1">
        <v>50</v>
      </c>
      <c r="AB128" s="1">
        <v>44</v>
      </c>
      <c r="AC128" s="1"/>
      <c r="AD128" s="1"/>
      <c r="AE128" s="1"/>
      <c r="AF128" s="1">
        <v>62</v>
      </c>
      <c r="AG128" s="1">
        <v>45</v>
      </c>
      <c r="AH128" s="1">
        <v>47</v>
      </c>
      <c r="AI128" s="5">
        <f>AVERAGE(AF128:AH128)</f>
        <v>51.333333333333336</v>
      </c>
      <c r="AJ128" s="5">
        <f>90-AI128</f>
        <v>38.666666666666664</v>
      </c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6">
        <v>62.3</v>
      </c>
      <c r="BA128" s="6">
        <v>9.86</v>
      </c>
      <c r="BB128" s="4">
        <v>5.8999999999999999E-3</v>
      </c>
    </row>
    <row r="129" spans="1:54" x14ac:dyDescent="0.25">
      <c r="A129" s="1" t="s">
        <v>128</v>
      </c>
      <c r="B129" s="1" t="s">
        <v>204</v>
      </c>
      <c r="C129" s="1">
        <v>24</v>
      </c>
      <c r="D129" s="1">
        <v>400</v>
      </c>
      <c r="E129" s="1">
        <v>55</v>
      </c>
      <c r="F129" s="1">
        <v>42</v>
      </c>
      <c r="G129" s="1">
        <v>34</v>
      </c>
      <c r="H129" s="1">
        <v>44</v>
      </c>
      <c r="I129" s="1">
        <v>35</v>
      </c>
      <c r="J129" s="1">
        <v>42</v>
      </c>
      <c r="K129" s="1"/>
      <c r="L129" s="1"/>
      <c r="M129" s="1"/>
      <c r="N129" s="1">
        <v>49</v>
      </c>
      <c r="O129" s="1">
        <v>46</v>
      </c>
      <c r="P129" s="1">
        <v>55</v>
      </c>
      <c r="Q129" s="1"/>
      <c r="R129" s="1"/>
      <c r="S129" s="1"/>
      <c r="T129" s="1">
        <v>55</v>
      </c>
      <c r="U129" s="1">
        <v>51</v>
      </c>
      <c r="V129" s="1">
        <v>53</v>
      </c>
      <c r="W129" s="1"/>
      <c r="X129" s="1"/>
      <c r="Y129" s="1"/>
      <c r="Z129" s="1">
        <v>68</v>
      </c>
      <c r="AA129" s="1">
        <v>54</v>
      </c>
      <c r="AB129" s="1">
        <v>62</v>
      </c>
      <c r="AC129" s="1"/>
      <c r="AD129" s="1"/>
      <c r="AE129" s="1"/>
      <c r="AF129" s="1">
        <v>71</v>
      </c>
      <c r="AG129" s="1">
        <v>61</v>
      </c>
      <c r="AH129" s="1">
        <v>46</v>
      </c>
      <c r="AI129" s="5">
        <f t="shared" ref="AI129:AI151" si="6">AVERAGE(AF129:AH129)</f>
        <v>59.333333333333336</v>
      </c>
      <c r="AJ129" s="5">
        <f t="shared" ref="AJ129:AJ151" si="7">90-AI129</f>
        <v>30.666666666666664</v>
      </c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6">
        <v>36.700000000000003</v>
      </c>
      <c r="BA129" s="6">
        <v>6.85</v>
      </c>
      <c r="BB129" s="4">
        <v>7.7000000000000002E-3</v>
      </c>
    </row>
    <row r="130" spans="1:54" x14ac:dyDescent="0.25">
      <c r="A130" s="1" t="s">
        <v>129</v>
      </c>
      <c r="B130" s="1" t="s">
        <v>204</v>
      </c>
      <c r="C130" s="1">
        <v>24</v>
      </c>
      <c r="D130" s="1">
        <v>400</v>
      </c>
      <c r="E130" s="1">
        <v>51</v>
      </c>
      <c r="F130" s="1">
        <v>64</v>
      </c>
      <c r="G130" s="1">
        <v>59</v>
      </c>
      <c r="H130" s="1">
        <v>46</v>
      </c>
      <c r="I130" s="1">
        <v>57</v>
      </c>
      <c r="J130" s="1">
        <v>55</v>
      </c>
      <c r="K130" s="1"/>
      <c r="L130" s="1"/>
      <c r="M130" s="1"/>
      <c r="N130" s="1">
        <v>58</v>
      </c>
      <c r="O130" s="1">
        <v>65</v>
      </c>
      <c r="P130" s="1">
        <v>67</v>
      </c>
      <c r="Q130" s="1"/>
      <c r="R130" s="1"/>
      <c r="S130" s="1"/>
      <c r="T130" s="1">
        <v>67</v>
      </c>
      <c r="U130" s="1">
        <v>73</v>
      </c>
      <c r="V130" s="1">
        <v>54</v>
      </c>
      <c r="W130" s="1"/>
      <c r="X130" s="1"/>
      <c r="Y130" s="1"/>
      <c r="Z130" s="1">
        <v>66</v>
      </c>
      <c r="AA130" s="1">
        <v>62</v>
      </c>
      <c r="AB130" s="1">
        <v>58</v>
      </c>
      <c r="AC130" s="1"/>
      <c r="AD130" s="1"/>
      <c r="AE130" s="1"/>
      <c r="AF130" s="1">
        <v>58</v>
      </c>
      <c r="AG130" s="1">
        <v>56</v>
      </c>
      <c r="AH130" s="1">
        <v>65</v>
      </c>
      <c r="AI130" s="5">
        <f t="shared" si="6"/>
        <v>59.666666666666664</v>
      </c>
      <c r="AJ130" s="5">
        <f t="shared" si="7"/>
        <v>30.333333333333336</v>
      </c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6">
        <v>40.299999999999997</v>
      </c>
      <c r="BA130" s="6">
        <v>3.86</v>
      </c>
      <c r="BB130" s="4">
        <v>5.3E-3</v>
      </c>
    </row>
    <row r="131" spans="1:54" x14ac:dyDescent="0.25">
      <c r="A131" s="1" t="s">
        <v>130</v>
      </c>
      <c r="B131" s="1" t="s">
        <v>204</v>
      </c>
      <c r="C131" s="1">
        <v>24</v>
      </c>
      <c r="D131" s="1">
        <v>400</v>
      </c>
      <c r="E131" s="1">
        <v>48</v>
      </c>
      <c r="F131" s="1">
        <v>51</v>
      </c>
      <c r="G131" s="1">
        <v>41</v>
      </c>
      <c r="H131" s="1">
        <v>43</v>
      </c>
      <c r="I131" s="1">
        <v>51</v>
      </c>
      <c r="J131" s="1">
        <v>49</v>
      </c>
      <c r="K131" s="1"/>
      <c r="L131" s="1"/>
      <c r="M131" s="1"/>
      <c r="N131" s="1">
        <v>55</v>
      </c>
      <c r="O131" s="1">
        <v>48</v>
      </c>
      <c r="P131" s="1">
        <v>45</v>
      </c>
      <c r="Q131" s="1"/>
      <c r="R131" s="1"/>
      <c r="S131" s="1"/>
      <c r="T131" s="1">
        <v>45</v>
      </c>
      <c r="U131" s="1">
        <v>57</v>
      </c>
      <c r="V131" s="1">
        <v>52</v>
      </c>
      <c r="W131" s="1"/>
      <c r="X131" s="1"/>
      <c r="Y131" s="1"/>
      <c r="Z131" s="1">
        <v>47</v>
      </c>
      <c r="AA131" s="1">
        <v>56</v>
      </c>
      <c r="AB131" s="1">
        <v>57</v>
      </c>
      <c r="AC131" s="1"/>
      <c r="AD131" s="1"/>
      <c r="AE131" s="1"/>
      <c r="AF131" s="1">
        <v>52</v>
      </c>
      <c r="AG131" s="1">
        <v>64</v>
      </c>
      <c r="AH131" s="1">
        <v>61</v>
      </c>
      <c r="AI131" s="5">
        <f t="shared" si="6"/>
        <v>59</v>
      </c>
      <c r="AJ131" s="5">
        <f t="shared" si="7"/>
        <v>31</v>
      </c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6">
        <v>47.5</v>
      </c>
      <c r="BA131" s="6">
        <v>5.01</v>
      </c>
      <c r="BB131" s="4">
        <v>4.4999999999999997E-3</v>
      </c>
    </row>
    <row r="132" spans="1:54" x14ac:dyDescent="0.25">
      <c r="A132" s="1" t="s">
        <v>131</v>
      </c>
      <c r="B132" s="1" t="s">
        <v>204</v>
      </c>
      <c r="C132" s="1">
        <v>24</v>
      </c>
      <c r="D132" s="1">
        <v>400</v>
      </c>
      <c r="E132" s="1">
        <v>48</v>
      </c>
      <c r="F132" s="1">
        <v>42</v>
      </c>
      <c r="G132" s="1">
        <v>46</v>
      </c>
      <c r="H132" s="1">
        <v>55</v>
      </c>
      <c r="I132" s="1">
        <v>47</v>
      </c>
      <c r="J132" s="1">
        <v>37</v>
      </c>
      <c r="K132" s="1"/>
      <c r="L132" s="1"/>
      <c r="M132" s="1"/>
      <c r="N132" s="1">
        <v>44</v>
      </c>
      <c r="O132" s="1">
        <v>37</v>
      </c>
      <c r="P132" s="1">
        <v>67</v>
      </c>
      <c r="Q132" s="1"/>
      <c r="R132" s="1"/>
      <c r="S132" s="1"/>
      <c r="T132" s="1">
        <v>67</v>
      </c>
      <c r="U132" s="1">
        <v>50</v>
      </c>
      <c r="V132" s="1">
        <v>42</v>
      </c>
      <c r="W132" s="1"/>
      <c r="X132" s="1"/>
      <c r="Y132" s="1"/>
      <c r="Z132" s="1">
        <v>66</v>
      </c>
      <c r="AA132" s="1">
        <v>55</v>
      </c>
      <c r="AB132" s="1">
        <v>43</v>
      </c>
      <c r="AC132" s="1"/>
      <c r="AD132" s="1"/>
      <c r="AE132" s="1"/>
      <c r="AF132" s="1">
        <v>68</v>
      </c>
      <c r="AG132" s="1">
        <v>69</v>
      </c>
      <c r="AH132" s="1">
        <v>50</v>
      </c>
      <c r="AI132" s="5">
        <f t="shared" si="6"/>
        <v>62.333333333333336</v>
      </c>
      <c r="AJ132" s="5">
        <f t="shared" si="7"/>
        <v>27.666666666666664</v>
      </c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6">
        <v>59.8</v>
      </c>
      <c r="BA132" s="6">
        <v>9.2799999999999994</v>
      </c>
      <c r="BB132" s="4">
        <v>6.3E-3</v>
      </c>
    </row>
    <row r="133" spans="1:54" x14ac:dyDescent="0.25">
      <c r="A133" s="1" t="s">
        <v>132</v>
      </c>
      <c r="B133" s="1" t="s">
        <v>204</v>
      </c>
      <c r="C133" s="1">
        <v>24</v>
      </c>
      <c r="D133" s="1">
        <v>400</v>
      </c>
      <c r="E133" s="1">
        <v>65</v>
      </c>
      <c r="F133" s="1">
        <v>43</v>
      </c>
      <c r="G133" s="1">
        <v>40</v>
      </c>
      <c r="H133" s="1">
        <v>59</v>
      </c>
      <c r="I133" s="1">
        <v>50</v>
      </c>
      <c r="J133" s="1">
        <v>49</v>
      </c>
      <c r="K133" s="1"/>
      <c r="L133" s="1"/>
      <c r="M133" s="1"/>
      <c r="N133" s="1">
        <v>59</v>
      </c>
      <c r="O133" s="1">
        <v>49</v>
      </c>
      <c r="P133" s="1">
        <v>61</v>
      </c>
      <c r="Q133" s="1"/>
      <c r="R133" s="1"/>
      <c r="S133" s="1"/>
      <c r="T133" s="1">
        <v>61</v>
      </c>
      <c r="U133" s="1">
        <v>55</v>
      </c>
      <c r="V133" s="1">
        <v>70</v>
      </c>
      <c r="W133" s="1"/>
      <c r="X133" s="1"/>
      <c r="Y133" s="1"/>
      <c r="Z133" s="1">
        <v>55</v>
      </c>
      <c r="AA133" s="1">
        <v>65</v>
      </c>
      <c r="AB133" s="1">
        <v>59</v>
      </c>
      <c r="AC133" s="1"/>
      <c r="AD133" s="1"/>
      <c r="AE133" s="1"/>
      <c r="AF133" s="1">
        <v>52</v>
      </c>
      <c r="AG133" s="1">
        <v>54</v>
      </c>
      <c r="AH133" s="1">
        <v>57</v>
      </c>
      <c r="AI133" s="5">
        <f t="shared" si="6"/>
        <v>54.333333333333336</v>
      </c>
      <c r="AJ133" s="5">
        <f t="shared" si="7"/>
        <v>35.666666666666664</v>
      </c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6">
        <v>29.4</v>
      </c>
      <c r="BA133" s="6">
        <v>3.22</v>
      </c>
      <c r="BB133" s="4">
        <v>5.1000000000000004E-3</v>
      </c>
    </row>
    <row r="134" spans="1:54" x14ac:dyDescent="0.25">
      <c r="A134" s="1" t="s">
        <v>133</v>
      </c>
      <c r="B134" s="1" t="s">
        <v>204</v>
      </c>
      <c r="C134" s="1">
        <v>24</v>
      </c>
      <c r="D134" s="1">
        <v>800</v>
      </c>
      <c r="E134" s="1">
        <v>50</v>
      </c>
      <c r="F134" s="1">
        <v>56</v>
      </c>
      <c r="G134" s="1">
        <v>49</v>
      </c>
      <c r="H134" s="1">
        <v>49</v>
      </c>
      <c r="I134" s="1">
        <v>50</v>
      </c>
      <c r="J134" s="1">
        <v>49</v>
      </c>
      <c r="K134" s="1"/>
      <c r="L134" s="1"/>
      <c r="M134" s="1"/>
      <c r="N134" s="1">
        <v>60</v>
      </c>
      <c r="O134" s="1">
        <v>52</v>
      </c>
      <c r="P134" s="1">
        <v>59</v>
      </c>
      <c r="Q134" s="1"/>
      <c r="R134" s="1"/>
      <c r="S134" s="1"/>
      <c r="T134" s="1">
        <v>59</v>
      </c>
      <c r="U134" s="1">
        <v>54</v>
      </c>
      <c r="V134" s="1">
        <v>46</v>
      </c>
      <c r="W134" s="1"/>
      <c r="X134" s="1"/>
      <c r="Y134" s="1"/>
      <c r="Z134" s="1">
        <v>56</v>
      </c>
      <c r="AA134" s="1">
        <v>57</v>
      </c>
      <c r="AB134" s="1">
        <v>42</v>
      </c>
      <c r="AC134" s="1"/>
      <c r="AD134" s="1"/>
      <c r="AE134" s="1"/>
      <c r="AF134" s="1">
        <v>47</v>
      </c>
      <c r="AG134" s="1">
        <v>42</v>
      </c>
      <c r="AH134" s="1">
        <v>54</v>
      </c>
      <c r="AI134" s="5">
        <f t="shared" si="6"/>
        <v>47.666666666666664</v>
      </c>
      <c r="AJ134" s="5">
        <f t="shared" si="7"/>
        <v>42.333333333333336</v>
      </c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6">
        <v>38</v>
      </c>
      <c r="BA134" s="6">
        <v>4.4800000000000004</v>
      </c>
      <c r="BB134" s="4">
        <v>7.4999999999999997E-3</v>
      </c>
    </row>
    <row r="135" spans="1:54" x14ac:dyDescent="0.25">
      <c r="A135" s="1" t="s">
        <v>134</v>
      </c>
      <c r="B135" s="1" t="s">
        <v>204</v>
      </c>
      <c r="C135" s="1">
        <v>24</v>
      </c>
      <c r="D135" s="1">
        <v>800</v>
      </c>
      <c r="E135" s="1">
        <v>55</v>
      </c>
      <c r="F135" s="1">
        <v>48</v>
      </c>
      <c r="G135" s="1">
        <v>49</v>
      </c>
      <c r="H135" s="1">
        <v>44</v>
      </c>
      <c r="I135" s="1">
        <v>44</v>
      </c>
      <c r="J135" s="1">
        <v>49</v>
      </c>
      <c r="K135" s="1"/>
      <c r="L135" s="1"/>
      <c r="M135" s="1"/>
      <c r="N135" s="1">
        <v>52</v>
      </c>
      <c r="O135" s="1">
        <v>58</v>
      </c>
      <c r="P135" s="1">
        <v>52</v>
      </c>
      <c r="Q135" s="1"/>
      <c r="R135" s="1"/>
      <c r="S135" s="1"/>
      <c r="T135" s="1">
        <v>52</v>
      </c>
      <c r="U135" s="1">
        <v>51</v>
      </c>
      <c r="V135" s="1">
        <v>51</v>
      </c>
      <c r="W135" s="1"/>
      <c r="X135" s="1"/>
      <c r="Y135" s="1"/>
      <c r="Z135" s="1">
        <v>46</v>
      </c>
      <c r="AA135" s="1">
        <v>62</v>
      </c>
      <c r="AB135" s="1">
        <v>52</v>
      </c>
      <c r="AC135" s="1"/>
      <c r="AD135" s="1"/>
      <c r="AE135" s="1"/>
      <c r="AF135" s="1">
        <v>67</v>
      </c>
      <c r="AG135" s="1">
        <v>53</v>
      </c>
      <c r="AH135" s="1">
        <v>45</v>
      </c>
      <c r="AI135" s="5">
        <f t="shared" si="6"/>
        <v>55</v>
      </c>
      <c r="AJ135" s="5">
        <f t="shared" si="7"/>
        <v>35</v>
      </c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6">
        <v>42.1</v>
      </c>
      <c r="BA135" s="6">
        <v>4.92</v>
      </c>
      <c r="BB135" s="4">
        <v>5.3E-3</v>
      </c>
    </row>
    <row r="136" spans="1:54" x14ac:dyDescent="0.25">
      <c r="A136" s="1" t="s">
        <v>135</v>
      </c>
      <c r="B136" s="1" t="s">
        <v>204</v>
      </c>
      <c r="C136" s="1">
        <v>24</v>
      </c>
      <c r="D136" s="1">
        <v>800</v>
      </c>
      <c r="E136" s="1">
        <v>46</v>
      </c>
      <c r="F136" s="1">
        <v>54</v>
      </c>
      <c r="G136" s="1">
        <v>46</v>
      </c>
      <c r="H136" s="1">
        <v>44</v>
      </c>
      <c r="I136" s="1">
        <v>45</v>
      </c>
      <c r="J136" s="1">
        <v>26</v>
      </c>
      <c r="K136" s="1"/>
      <c r="L136" s="1"/>
      <c r="M136" s="1"/>
      <c r="N136" s="1">
        <v>51</v>
      </c>
      <c r="O136" s="1">
        <v>40</v>
      </c>
      <c r="P136" s="1">
        <v>62</v>
      </c>
      <c r="Q136" s="1"/>
      <c r="R136" s="1"/>
      <c r="S136" s="1"/>
      <c r="T136" s="1">
        <v>62</v>
      </c>
      <c r="U136" s="1">
        <v>51</v>
      </c>
      <c r="V136" s="1">
        <v>49</v>
      </c>
      <c r="W136" s="1"/>
      <c r="X136" s="1"/>
      <c r="Y136" s="1"/>
      <c r="Z136" s="1">
        <v>62</v>
      </c>
      <c r="AA136" s="1">
        <v>57</v>
      </c>
      <c r="AB136" s="1">
        <v>48</v>
      </c>
      <c r="AC136" s="1"/>
      <c r="AD136" s="1"/>
      <c r="AE136" s="1"/>
      <c r="AF136" s="1">
        <v>58</v>
      </c>
      <c r="AG136" s="1">
        <v>53</v>
      </c>
      <c r="AH136" s="1">
        <v>50</v>
      </c>
      <c r="AI136" s="5">
        <f t="shared" si="6"/>
        <v>53.666666666666664</v>
      </c>
      <c r="AJ136" s="5">
        <f t="shared" si="7"/>
        <v>36.333333333333336</v>
      </c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6">
        <v>39.9</v>
      </c>
      <c r="BA136" s="6">
        <v>6.08</v>
      </c>
      <c r="BB136" s="4">
        <v>5.4999999999999997E-3</v>
      </c>
    </row>
    <row r="137" spans="1:54" x14ac:dyDescent="0.25">
      <c r="A137" s="1" t="s">
        <v>136</v>
      </c>
      <c r="B137" s="1" t="s">
        <v>204</v>
      </c>
      <c r="C137" s="1">
        <v>24</v>
      </c>
      <c r="D137" s="1">
        <v>800</v>
      </c>
      <c r="E137" s="1">
        <v>49</v>
      </c>
      <c r="F137" s="1">
        <v>39</v>
      </c>
      <c r="G137" s="1">
        <v>40</v>
      </c>
      <c r="H137" s="1">
        <v>56</v>
      </c>
      <c r="I137" s="1">
        <v>52</v>
      </c>
      <c r="J137" s="1">
        <v>39</v>
      </c>
      <c r="K137" s="1"/>
      <c r="L137" s="1"/>
      <c r="M137" s="1"/>
      <c r="N137" s="1">
        <v>55</v>
      </c>
      <c r="O137" s="1">
        <v>58</v>
      </c>
      <c r="P137" s="1">
        <v>62</v>
      </c>
      <c r="Q137" s="1"/>
      <c r="R137" s="1"/>
      <c r="S137" s="1"/>
      <c r="T137" s="1">
        <v>62</v>
      </c>
      <c r="U137" s="1">
        <v>57</v>
      </c>
      <c r="V137" s="1">
        <v>42</v>
      </c>
      <c r="W137" s="1"/>
      <c r="X137" s="1"/>
      <c r="Y137" s="1"/>
      <c r="Z137" s="1">
        <v>56</v>
      </c>
      <c r="AA137" s="1">
        <v>47</v>
      </c>
      <c r="AB137" s="1">
        <v>53</v>
      </c>
      <c r="AC137" s="1"/>
      <c r="AD137" s="1"/>
      <c r="AE137" s="1"/>
      <c r="AF137" s="1">
        <v>55</v>
      </c>
      <c r="AG137" s="1">
        <v>46</v>
      </c>
      <c r="AH137" s="1">
        <v>52</v>
      </c>
      <c r="AI137" s="5">
        <f t="shared" si="6"/>
        <v>51</v>
      </c>
      <c r="AJ137" s="5">
        <f t="shared" si="7"/>
        <v>39</v>
      </c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6">
        <v>38.4</v>
      </c>
      <c r="BA137" s="6">
        <v>4.75</v>
      </c>
      <c r="BB137" s="4">
        <v>7.1000000000000004E-3</v>
      </c>
    </row>
    <row r="138" spans="1:54" x14ac:dyDescent="0.25">
      <c r="A138" s="1" t="s">
        <v>137</v>
      </c>
      <c r="B138" s="1" t="s">
        <v>204</v>
      </c>
      <c r="C138" s="1">
        <v>24</v>
      </c>
      <c r="D138" s="1">
        <v>800</v>
      </c>
      <c r="E138" s="1">
        <v>48</v>
      </c>
      <c r="F138" s="1">
        <v>52</v>
      </c>
      <c r="G138" s="1">
        <v>45</v>
      </c>
      <c r="H138" s="1">
        <v>45</v>
      </c>
      <c r="I138" s="1">
        <v>40</v>
      </c>
      <c r="J138" s="1">
        <v>49</v>
      </c>
      <c r="K138" s="1"/>
      <c r="L138" s="1"/>
      <c r="M138" s="1"/>
      <c r="N138" s="1">
        <v>52</v>
      </c>
      <c r="O138" s="1">
        <v>49</v>
      </c>
      <c r="P138" s="1">
        <v>61</v>
      </c>
      <c r="Q138" s="1"/>
      <c r="R138" s="1"/>
      <c r="S138" s="1"/>
      <c r="T138" s="1">
        <v>61</v>
      </c>
      <c r="U138" s="1">
        <v>43</v>
      </c>
      <c r="V138" s="1">
        <v>49</v>
      </c>
      <c r="W138" s="1"/>
      <c r="X138" s="1"/>
      <c r="Y138" s="1"/>
      <c r="Z138" s="1">
        <v>66</v>
      </c>
      <c r="AA138" s="1">
        <v>52</v>
      </c>
      <c r="AB138" s="1">
        <v>53</v>
      </c>
      <c r="AC138" s="1"/>
      <c r="AD138" s="1"/>
      <c r="AE138" s="1"/>
      <c r="AF138" s="1">
        <v>53</v>
      </c>
      <c r="AG138" s="1">
        <v>62</v>
      </c>
      <c r="AH138" s="1">
        <v>48</v>
      </c>
      <c r="AI138" s="5">
        <f t="shared" si="6"/>
        <v>54.333333333333336</v>
      </c>
      <c r="AJ138" s="5">
        <f t="shared" si="7"/>
        <v>35.666666666666664</v>
      </c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6">
        <v>42</v>
      </c>
      <c r="BA138" s="6">
        <v>5.29</v>
      </c>
      <c r="BB138" s="4">
        <v>7.4999999999999997E-3</v>
      </c>
    </row>
    <row r="139" spans="1:54" x14ac:dyDescent="0.25">
      <c r="A139" s="1" t="s">
        <v>138</v>
      </c>
      <c r="B139" s="1" t="s">
        <v>204</v>
      </c>
      <c r="C139" s="1">
        <v>24</v>
      </c>
      <c r="D139" s="1">
        <v>800</v>
      </c>
      <c r="E139" s="1">
        <v>47</v>
      </c>
      <c r="F139" s="1">
        <v>45</v>
      </c>
      <c r="G139" s="1">
        <v>38</v>
      </c>
      <c r="H139" s="1">
        <v>55</v>
      </c>
      <c r="I139" s="1">
        <v>55</v>
      </c>
      <c r="J139" s="1">
        <v>43</v>
      </c>
      <c r="K139" s="1"/>
      <c r="L139" s="1"/>
      <c r="M139" s="1"/>
      <c r="N139" s="1">
        <v>51</v>
      </c>
      <c r="O139" s="1">
        <v>45</v>
      </c>
      <c r="P139" s="1">
        <v>56</v>
      </c>
      <c r="Q139" s="1"/>
      <c r="R139" s="1"/>
      <c r="S139" s="1"/>
      <c r="T139" s="1">
        <v>56</v>
      </c>
      <c r="U139" s="1">
        <v>50</v>
      </c>
      <c r="V139" s="1">
        <v>54</v>
      </c>
      <c r="W139" s="1"/>
      <c r="X139" s="1"/>
      <c r="Y139" s="1"/>
      <c r="Z139" s="1">
        <v>60</v>
      </c>
      <c r="AA139" s="1">
        <v>56</v>
      </c>
      <c r="AB139" s="1">
        <v>52</v>
      </c>
      <c r="AC139" s="1"/>
      <c r="AD139" s="1"/>
      <c r="AE139" s="1"/>
      <c r="AF139" s="1">
        <v>62</v>
      </c>
      <c r="AG139" s="1">
        <v>52</v>
      </c>
      <c r="AH139" s="1">
        <v>54</v>
      </c>
      <c r="AI139" s="5">
        <f t="shared" si="6"/>
        <v>56</v>
      </c>
      <c r="AJ139" s="5">
        <f t="shared" si="7"/>
        <v>34</v>
      </c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6">
        <v>38.9</v>
      </c>
      <c r="BA139" s="6">
        <v>5.37</v>
      </c>
      <c r="BB139" s="4">
        <v>5.7000000000000002E-3</v>
      </c>
    </row>
    <row r="140" spans="1:54" x14ac:dyDescent="0.25">
      <c r="A140" s="1" t="s">
        <v>139</v>
      </c>
      <c r="B140" s="1" t="s">
        <v>204</v>
      </c>
      <c r="C140" s="1">
        <v>32</v>
      </c>
      <c r="D140" s="1">
        <v>400</v>
      </c>
      <c r="E140" s="1">
        <v>46</v>
      </c>
      <c r="F140" s="1">
        <v>38</v>
      </c>
      <c r="G140" s="1">
        <v>45</v>
      </c>
      <c r="H140" s="1">
        <v>57</v>
      </c>
      <c r="I140" s="1">
        <v>41</v>
      </c>
      <c r="J140" s="1">
        <v>37</v>
      </c>
      <c r="K140" s="1"/>
      <c r="L140" s="1"/>
      <c r="M140" s="1"/>
      <c r="N140" s="1">
        <v>43</v>
      </c>
      <c r="O140" s="1">
        <v>29</v>
      </c>
      <c r="P140" s="1">
        <v>47</v>
      </c>
      <c r="Q140" s="1"/>
      <c r="R140" s="1"/>
      <c r="S140" s="1"/>
      <c r="T140" s="1">
        <v>47</v>
      </c>
      <c r="U140" s="1">
        <v>48</v>
      </c>
      <c r="V140" s="1">
        <v>39</v>
      </c>
      <c r="W140" s="1"/>
      <c r="X140" s="1"/>
      <c r="Y140" s="1"/>
      <c r="Z140" s="1">
        <v>52</v>
      </c>
      <c r="AA140" s="1">
        <v>52</v>
      </c>
      <c r="AB140" s="1">
        <v>35</v>
      </c>
      <c r="AC140" s="1"/>
      <c r="AD140" s="1"/>
      <c r="AE140" s="1"/>
      <c r="AF140" s="1">
        <v>53</v>
      </c>
      <c r="AG140" s="1">
        <v>57</v>
      </c>
      <c r="AH140" s="1">
        <v>38</v>
      </c>
      <c r="AI140" s="5">
        <f t="shared" si="6"/>
        <v>49.333333333333336</v>
      </c>
      <c r="AJ140" s="5">
        <f t="shared" si="7"/>
        <v>40.666666666666664</v>
      </c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6">
        <v>37.6</v>
      </c>
      <c r="BA140" s="6">
        <v>5.73</v>
      </c>
      <c r="BB140" s="4">
        <v>6.0000000000000001E-3</v>
      </c>
    </row>
    <row r="141" spans="1:54" x14ac:dyDescent="0.25">
      <c r="A141" s="1" t="s">
        <v>140</v>
      </c>
      <c r="B141" s="1" t="s">
        <v>204</v>
      </c>
      <c r="C141" s="1">
        <v>32</v>
      </c>
      <c r="D141" s="1">
        <v>400</v>
      </c>
      <c r="E141" s="1">
        <v>41</v>
      </c>
      <c r="F141" s="1">
        <v>36</v>
      </c>
      <c r="G141" s="1">
        <v>40</v>
      </c>
      <c r="H141" s="1">
        <v>52</v>
      </c>
      <c r="I141" s="1">
        <v>45</v>
      </c>
      <c r="J141" s="1">
        <v>43</v>
      </c>
      <c r="K141" s="1"/>
      <c r="L141" s="1"/>
      <c r="M141" s="1"/>
      <c r="N141" s="1">
        <v>45</v>
      </c>
      <c r="O141" s="1">
        <v>38</v>
      </c>
      <c r="P141" s="1">
        <v>62</v>
      </c>
      <c r="Q141" s="1"/>
      <c r="R141" s="1"/>
      <c r="S141" s="1"/>
      <c r="T141" s="1">
        <v>62</v>
      </c>
      <c r="U141" s="1">
        <v>44</v>
      </c>
      <c r="V141" s="1">
        <v>38</v>
      </c>
      <c r="W141" s="1"/>
      <c r="X141" s="1"/>
      <c r="Y141" s="1"/>
      <c r="Z141" s="1">
        <v>63</v>
      </c>
      <c r="AA141" s="1">
        <v>42</v>
      </c>
      <c r="AB141" s="1">
        <v>31</v>
      </c>
      <c r="AC141" s="1"/>
      <c r="AD141" s="1"/>
      <c r="AE141" s="1"/>
      <c r="AF141" s="1">
        <v>67</v>
      </c>
      <c r="AG141" s="1">
        <v>49</v>
      </c>
      <c r="AH141" s="1">
        <v>32</v>
      </c>
      <c r="AI141" s="5">
        <f t="shared" si="6"/>
        <v>49.333333333333336</v>
      </c>
      <c r="AJ141" s="5">
        <f t="shared" si="7"/>
        <v>40.666666666666664</v>
      </c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6">
        <v>29.4</v>
      </c>
      <c r="BA141" s="6">
        <v>4.51</v>
      </c>
      <c r="BB141" s="4">
        <v>4.4000000000000003E-3</v>
      </c>
    </row>
    <row r="142" spans="1:54" x14ac:dyDescent="0.25">
      <c r="A142" s="1" t="s">
        <v>141</v>
      </c>
      <c r="B142" s="1" t="s">
        <v>204</v>
      </c>
      <c r="C142" s="1">
        <v>32</v>
      </c>
      <c r="D142" s="1">
        <v>400</v>
      </c>
      <c r="E142" s="1">
        <v>49</v>
      </c>
      <c r="F142" s="1">
        <v>44</v>
      </c>
      <c r="G142" s="1">
        <v>50</v>
      </c>
      <c r="H142" s="1">
        <v>53</v>
      </c>
      <c r="I142" s="1">
        <v>46</v>
      </c>
      <c r="J142" s="1">
        <v>43</v>
      </c>
      <c r="K142" s="1"/>
      <c r="L142" s="1"/>
      <c r="M142" s="1"/>
      <c r="N142" s="1">
        <v>41</v>
      </c>
      <c r="O142" s="1">
        <v>39</v>
      </c>
      <c r="P142" s="1">
        <v>52</v>
      </c>
      <c r="Q142" s="1"/>
      <c r="R142" s="1"/>
      <c r="S142" s="1"/>
      <c r="T142" s="1">
        <v>52</v>
      </c>
      <c r="U142" s="1">
        <v>35</v>
      </c>
      <c r="V142" s="1">
        <v>43</v>
      </c>
      <c r="W142" s="1"/>
      <c r="X142" s="1"/>
      <c r="Y142" s="1"/>
      <c r="Z142" s="1">
        <v>39</v>
      </c>
      <c r="AA142" s="1">
        <v>42</v>
      </c>
      <c r="AB142" s="1">
        <v>37</v>
      </c>
      <c r="AC142" s="1"/>
      <c r="AD142" s="1"/>
      <c r="AE142" s="1"/>
      <c r="AF142" s="1">
        <v>37</v>
      </c>
      <c r="AG142" s="1">
        <v>42</v>
      </c>
      <c r="AH142" s="1">
        <v>40</v>
      </c>
      <c r="AI142" s="5">
        <f t="shared" si="6"/>
        <v>39.666666666666664</v>
      </c>
      <c r="AJ142" s="5">
        <f t="shared" si="7"/>
        <v>50.333333333333336</v>
      </c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6">
        <v>30.2</v>
      </c>
      <c r="BA142" s="6">
        <v>4.72</v>
      </c>
      <c r="BB142" s="4">
        <v>4.7999999999999996E-3</v>
      </c>
    </row>
    <row r="143" spans="1:54" x14ac:dyDescent="0.25">
      <c r="A143" s="1" t="s">
        <v>142</v>
      </c>
      <c r="B143" s="1" t="s">
        <v>204</v>
      </c>
      <c r="C143" s="1">
        <v>32</v>
      </c>
      <c r="D143" s="1">
        <v>400</v>
      </c>
      <c r="E143" s="1">
        <v>55</v>
      </c>
      <c r="F143" s="1">
        <v>39</v>
      </c>
      <c r="G143" s="1">
        <v>2</v>
      </c>
      <c r="H143" s="1">
        <v>58</v>
      </c>
      <c r="I143" s="1">
        <v>40</v>
      </c>
      <c r="J143" s="1">
        <v>39</v>
      </c>
      <c r="K143" s="1"/>
      <c r="L143" s="1"/>
      <c r="M143" s="1"/>
      <c r="N143" s="1">
        <v>36</v>
      </c>
      <c r="O143" s="1">
        <v>37</v>
      </c>
      <c r="P143" s="1">
        <v>54</v>
      </c>
      <c r="Q143" s="1"/>
      <c r="R143" s="1"/>
      <c r="S143" s="1"/>
      <c r="T143" s="1">
        <v>54</v>
      </c>
      <c r="U143" s="1">
        <v>35</v>
      </c>
      <c r="V143" s="1">
        <v>32</v>
      </c>
      <c r="W143" s="1"/>
      <c r="X143" s="1"/>
      <c r="Y143" s="1"/>
      <c r="Z143" s="1">
        <v>57</v>
      </c>
      <c r="AA143" s="1">
        <v>34</v>
      </c>
      <c r="AB143" s="1">
        <v>35</v>
      </c>
      <c r="AC143" s="1"/>
      <c r="AD143" s="1"/>
      <c r="AE143" s="1"/>
      <c r="AF143" s="1">
        <v>63</v>
      </c>
      <c r="AG143" s="1">
        <v>36</v>
      </c>
      <c r="AH143" s="1">
        <v>40</v>
      </c>
      <c r="AI143" s="5">
        <f t="shared" si="6"/>
        <v>46.333333333333336</v>
      </c>
      <c r="AJ143" s="5">
        <f t="shared" si="7"/>
        <v>43.666666666666664</v>
      </c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6">
        <v>31</v>
      </c>
      <c r="BA143" s="6">
        <v>3.62</v>
      </c>
      <c r="BB143" s="4">
        <v>4.7999999999999996E-3</v>
      </c>
    </row>
    <row r="144" spans="1:54" x14ac:dyDescent="0.25">
      <c r="A144" s="1" t="s">
        <v>143</v>
      </c>
      <c r="B144" s="1" t="s">
        <v>204</v>
      </c>
      <c r="C144" s="1">
        <v>32</v>
      </c>
      <c r="D144" s="1">
        <v>400</v>
      </c>
      <c r="E144" s="1">
        <v>55</v>
      </c>
      <c r="F144" s="1">
        <v>52</v>
      </c>
      <c r="G144" s="1">
        <v>43</v>
      </c>
      <c r="H144" s="1">
        <v>57</v>
      </c>
      <c r="I144" s="1">
        <v>48</v>
      </c>
      <c r="J144" s="1">
        <v>56</v>
      </c>
      <c r="K144" s="1"/>
      <c r="L144" s="1"/>
      <c r="M144" s="1"/>
      <c r="N144" s="1">
        <v>56</v>
      </c>
      <c r="O144" s="1">
        <v>45</v>
      </c>
      <c r="P144" s="1">
        <v>55</v>
      </c>
      <c r="Q144" s="1"/>
      <c r="R144" s="1"/>
      <c r="S144" s="1"/>
      <c r="T144" s="1">
        <v>55</v>
      </c>
      <c r="U144" s="1">
        <v>53</v>
      </c>
      <c r="V144" s="1">
        <v>54</v>
      </c>
      <c r="W144" s="1"/>
      <c r="X144" s="1"/>
      <c r="Y144" s="1"/>
      <c r="Z144" s="1">
        <v>54</v>
      </c>
      <c r="AA144" s="1">
        <v>54</v>
      </c>
      <c r="AB144" s="1">
        <v>52</v>
      </c>
      <c r="AC144" s="1"/>
      <c r="AD144" s="1"/>
      <c r="AE144" s="1"/>
      <c r="AF144" s="1">
        <v>55</v>
      </c>
      <c r="AG144" s="1">
        <v>60</v>
      </c>
      <c r="AH144" s="1">
        <v>53</v>
      </c>
      <c r="AI144" s="5">
        <f t="shared" si="6"/>
        <v>56</v>
      </c>
      <c r="AJ144" s="5">
        <f t="shared" si="7"/>
        <v>34</v>
      </c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6">
        <v>41.8</v>
      </c>
      <c r="BA144" s="6">
        <v>5.7</v>
      </c>
      <c r="BB144" s="4">
        <v>5.8999999999999999E-3</v>
      </c>
    </row>
    <row r="145" spans="1:54" x14ac:dyDescent="0.25">
      <c r="A145" s="1" t="s">
        <v>144</v>
      </c>
      <c r="B145" s="1" t="s">
        <v>204</v>
      </c>
      <c r="C145" s="1">
        <v>32</v>
      </c>
      <c r="D145" s="1">
        <v>400</v>
      </c>
      <c r="E145" s="1">
        <v>45</v>
      </c>
      <c r="F145" s="1">
        <v>50</v>
      </c>
      <c r="G145" s="1">
        <v>44</v>
      </c>
      <c r="H145" s="1">
        <v>52</v>
      </c>
      <c r="I145" s="1">
        <v>54</v>
      </c>
      <c r="J145" s="1">
        <v>48</v>
      </c>
      <c r="K145" s="1"/>
      <c r="L145" s="1"/>
      <c r="M145" s="1"/>
      <c r="N145" s="1">
        <v>55</v>
      </c>
      <c r="O145" s="1">
        <v>40</v>
      </c>
      <c r="P145" s="1">
        <v>57</v>
      </c>
      <c r="Q145" s="1"/>
      <c r="R145" s="1"/>
      <c r="S145" s="1"/>
      <c r="T145" s="1">
        <v>57</v>
      </c>
      <c r="U145" s="1">
        <v>62</v>
      </c>
      <c r="V145" s="1">
        <v>40</v>
      </c>
      <c r="W145" s="1"/>
      <c r="X145" s="1"/>
      <c r="Y145" s="1"/>
      <c r="Z145" s="1">
        <v>60</v>
      </c>
      <c r="AA145" s="1">
        <v>65</v>
      </c>
      <c r="AB145" s="1">
        <v>45</v>
      </c>
      <c r="AC145" s="1"/>
      <c r="AD145" s="1"/>
      <c r="AE145" s="1"/>
      <c r="AF145" s="1">
        <v>64</v>
      </c>
      <c r="AG145" s="1">
        <v>50</v>
      </c>
      <c r="AH145" s="1">
        <v>40</v>
      </c>
      <c r="AI145" s="5">
        <f t="shared" si="6"/>
        <v>51.333333333333336</v>
      </c>
      <c r="AJ145" s="5">
        <f t="shared" si="7"/>
        <v>38.666666666666664</v>
      </c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6">
        <v>35.9</v>
      </c>
      <c r="BA145" s="6">
        <v>4.0199999999999996</v>
      </c>
      <c r="BB145" s="4">
        <v>4.5999999999999999E-3</v>
      </c>
    </row>
    <row r="146" spans="1:54" x14ac:dyDescent="0.25">
      <c r="A146" s="1" t="s">
        <v>145</v>
      </c>
      <c r="B146" s="1" t="s">
        <v>204</v>
      </c>
      <c r="C146" s="1">
        <v>32</v>
      </c>
      <c r="D146" s="1">
        <v>800</v>
      </c>
      <c r="E146" s="1">
        <v>37</v>
      </c>
      <c r="F146" s="1">
        <v>43</v>
      </c>
      <c r="G146" s="1">
        <v>36</v>
      </c>
      <c r="H146" s="1">
        <v>45</v>
      </c>
      <c r="I146" s="1">
        <v>45</v>
      </c>
      <c r="J146" s="1">
        <v>38</v>
      </c>
      <c r="K146" s="1"/>
      <c r="L146" s="1"/>
      <c r="M146" s="1"/>
      <c r="N146" s="1">
        <v>46</v>
      </c>
      <c r="O146" s="1">
        <v>37</v>
      </c>
      <c r="P146" s="1">
        <v>44</v>
      </c>
      <c r="Q146" s="1"/>
      <c r="R146" s="1"/>
      <c r="S146" s="1"/>
      <c r="T146" s="1">
        <v>44</v>
      </c>
      <c r="U146" s="1">
        <v>47</v>
      </c>
      <c r="V146" s="1">
        <v>38</v>
      </c>
      <c r="W146" s="1"/>
      <c r="X146" s="1"/>
      <c r="Y146" s="1"/>
      <c r="Z146" s="1">
        <v>43</v>
      </c>
      <c r="AA146" s="1">
        <v>44</v>
      </c>
      <c r="AB146" s="1">
        <v>47</v>
      </c>
      <c r="AC146" s="1"/>
      <c r="AD146" s="1"/>
      <c r="AE146" s="1"/>
      <c r="AF146" s="1">
        <v>38</v>
      </c>
      <c r="AG146" s="1">
        <v>42</v>
      </c>
      <c r="AH146" s="1">
        <v>38</v>
      </c>
      <c r="AI146" s="5">
        <f t="shared" si="6"/>
        <v>39.333333333333336</v>
      </c>
      <c r="AJ146" s="5">
        <f t="shared" si="7"/>
        <v>50.666666666666664</v>
      </c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6">
        <v>44.3</v>
      </c>
      <c r="BA146" s="6">
        <v>6.12</v>
      </c>
      <c r="BB146" s="4">
        <v>6.4000000000000003E-3</v>
      </c>
    </row>
    <row r="147" spans="1:54" x14ac:dyDescent="0.25">
      <c r="A147" s="1" t="s">
        <v>146</v>
      </c>
      <c r="B147" s="1" t="s">
        <v>204</v>
      </c>
      <c r="C147" s="1">
        <v>32</v>
      </c>
      <c r="D147" s="1">
        <v>800</v>
      </c>
      <c r="E147" s="1">
        <v>53</v>
      </c>
      <c r="F147" s="1">
        <v>51</v>
      </c>
      <c r="G147" s="1">
        <v>52</v>
      </c>
      <c r="H147" s="1">
        <v>51</v>
      </c>
      <c r="I147" s="1">
        <v>54</v>
      </c>
      <c r="J147" s="1">
        <v>43</v>
      </c>
      <c r="K147" s="1"/>
      <c r="L147" s="1"/>
      <c r="M147" s="1"/>
      <c r="N147" s="1">
        <v>64</v>
      </c>
      <c r="O147" s="1">
        <v>62</v>
      </c>
      <c r="P147" s="1">
        <v>68</v>
      </c>
      <c r="Q147" s="1"/>
      <c r="R147" s="1"/>
      <c r="S147" s="1"/>
      <c r="T147" s="1">
        <v>68</v>
      </c>
      <c r="U147" s="1">
        <v>64</v>
      </c>
      <c r="V147" s="1">
        <v>61</v>
      </c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6">
        <v>999</v>
      </c>
      <c r="BA147" s="6">
        <v>999</v>
      </c>
      <c r="BB147" s="4">
        <v>999</v>
      </c>
    </row>
    <row r="148" spans="1:54" x14ac:dyDescent="0.25">
      <c r="A148" s="1" t="s">
        <v>147</v>
      </c>
      <c r="B148" s="1" t="s">
        <v>204</v>
      </c>
      <c r="C148" s="1">
        <v>32</v>
      </c>
      <c r="D148" s="1">
        <v>800</v>
      </c>
      <c r="E148" s="1">
        <v>41</v>
      </c>
      <c r="F148" s="1">
        <v>38</v>
      </c>
      <c r="G148" s="1">
        <v>41</v>
      </c>
      <c r="H148" s="1">
        <v>41</v>
      </c>
      <c r="I148" s="1">
        <v>35</v>
      </c>
      <c r="J148" s="1">
        <v>44</v>
      </c>
      <c r="K148" s="1"/>
      <c r="L148" s="1"/>
      <c r="M148" s="1"/>
      <c r="N148" s="1">
        <v>45</v>
      </c>
      <c r="O148" s="1">
        <v>35</v>
      </c>
      <c r="P148" s="1">
        <v>47</v>
      </c>
      <c r="Q148" s="1"/>
      <c r="R148" s="1"/>
      <c r="S148" s="1"/>
      <c r="T148" s="1">
        <v>47</v>
      </c>
      <c r="U148" s="1">
        <v>38</v>
      </c>
      <c r="V148" s="1">
        <v>42</v>
      </c>
      <c r="W148" s="1"/>
      <c r="X148" s="1"/>
      <c r="Y148" s="1"/>
      <c r="Z148" s="1">
        <v>46</v>
      </c>
      <c r="AA148" s="1">
        <v>30</v>
      </c>
      <c r="AB148" s="1">
        <v>32</v>
      </c>
      <c r="AC148" s="1"/>
      <c r="AD148" s="1"/>
      <c r="AE148" s="1"/>
      <c r="AF148" s="1">
        <v>35</v>
      </c>
      <c r="AG148" s="1">
        <v>41</v>
      </c>
      <c r="AH148" s="1">
        <v>32</v>
      </c>
      <c r="AI148" s="5">
        <f t="shared" si="6"/>
        <v>36</v>
      </c>
      <c r="AJ148" s="5">
        <f t="shared" si="7"/>
        <v>54</v>
      </c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6">
        <v>52.3</v>
      </c>
      <c r="BA148" s="6">
        <v>7.15</v>
      </c>
      <c r="BB148" s="4">
        <v>5.8999999999999999E-3</v>
      </c>
    </row>
    <row r="149" spans="1:54" x14ac:dyDescent="0.25">
      <c r="A149" s="1" t="s">
        <v>148</v>
      </c>
      <c r="B149" s="1" t="s">
        <v>204</v>
      </c>
      <c r="C149" s="1">
        <v>32</v>
      </c>
      <c r="D149" s="1">
        <v>800</v>
      </c>
      <c r="E149" s="1">
        <v>999</v>
      </c>
      <c r="F149" s="1">
        <v>999</v>
      </c>
      <c r="G149" s="1">
        <v>999</v>
      </c>
      <c r="H149" s="1">
        <v>999</v>
      </c>
      <c r="I149" s="1">
        <v>999</v>
      </c>
      <c r="J149" s="1">
        <v>999</v>
      </c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>
        <v>999</v>
      </c>
      <c r="AG149" s="1">
        <v>999</v>
      </c>
      <c r="AH149" s="1">
        <v>999</v>
      </c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6">
        <v>999</v>
      </c>
      <c r="BA149" s="6">
        <v>999</v>
      </c>
      <c r="BB149" s="4">
        <v>999</v>
      </c>
    </row>
    <row r="150" spans="1:54" x14ac:dyDescent="0.25">
      <c r="A150" s="1" t="s">
        <v>149</v>
      </c>
      <c r="B150" s="1" t="s">
        <v>204</v>
      </c>
      <c r="C150" s="1">
        <v>32</v>
      </c>
      <c r="D150" s="1">
        <v>800</v>
      </c>
      <c r="E150" s="1">
        <v>47</v>
      </c>
      <c r="F150" s="1">
        <v>34</v>
      </c>
      <c r="G150" s="1">
        <v>41</v>
      </c>
      <c r="H150" s="1">
        <v>34</v>
      </c>
      <c r="I150" s="1">
        <v>43</v>
      </c>
      <c r="J150" s="1">
        <v>36</v>
      </c>
      <c r="K150" s="1"/>
      <c r="L150" s="1"/>
      <c r="M150" s="1"/>
      <c r="N150" s="1">
        <v>44</v>
      </c>
      <c r="O150" s="1">
        <v>31</v>
      </c>
      <c r="P150" s="1">
        <v>39</v>
      </c>
      <c r="Q150" s="1"/>
      <c r="R150" s="1"/>
      <c r="S150" s="1"/>
      <c r="T150" s="1">
        <v>39</v>
      </c>
      <c r="U150" s="1">
        <v>29</v>
      </c>
      <c r="V150" s="1">
        <v>30</v>
      </c>
      <c r="W150" s="1"/>
      <c r="X150" s="1"/>
      <c r="Y150" s="1"/>
      <c r="Z150" s="1">
        <v>38</v>
      </c>
      <c r="AA150" s="1">
        <v>42</v>
      </c>
      <c r="AB150" s="1">
        <v>36</v>
      </c>
      <c r="AC150" s="1"/>
      <c r="AD150" s="1"/>
      <c r="AE150" s="1"/>
      <c r="AF150" s="1">
        <v>30</v>
      </c>
      <c r="AG150" s="1">
        <v>30</v>
      </c>
      <c r="AH150" s="1">
        <v>33</v>
      </c>
      <c r="AI150" s="5">
        <f t="shared" si="6"/>
        <v>31</v>
      </c>
      <c r="AJ150" s="5">
        <f t="shared" si="7"/>
        <v>59</v>
      </c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6">
        <v>32.9</v>
      </c>
      <c r="BA150" s="6">
        <v>5.05</v>
      </c>
      <c r="BB150" s="4">
        <v>6.8999999999999999E-3</v>
      </c>
    </row>
    <row r="151" spans="1:54" x14ac:dyDescent="0.25">
      <c r="A151" s="1" t="s">
        <v>150</v>
      </c>
      <c r="B151" s="1" t="s">
        <v>204</v>
      </c>
      <c r="C151" s="1">
        <v>32</v>
      </c>
      <c r="D151" s="1">
        <v>800</v>
      </c>
      <c r="E151" s="1">
        <v>54</v>
      </c>
      <c r="F151" s="1">
        <v>39</v>
      </c>
      <c r="G151" s="1">
        <v>43</v>
      </c>
      <c r="H151" s="1">
        <v>50</v>
      </c>
      <c r="I151" s="1">
        <v>41</v>
      </c>
      <c r="J151" s="1">
        <v>43</v>
      </c>
      <c r="K151" s="1"/>
      <c r="L151" s="1"/>
      <c r="M151" s="1"/>
      <c r="N151" s="1">
        <v>43</v>
      </c>
      <c r="O151" s="1">
        <v>47</v>
      </c>
      <c r="P151" s="1">
        <v>39</v>
      </c>
      <c r="Q151" s="1"/>
      <c r="R151" s="1"/>
      <c r="S151" s="1"/>
      <c r="T151" s="1">
        <v>39</v>
      </c>
      <c r="U151" s="1">
        <v>32</v>
      </c>
      <c r="V151" s="1">
        <v>32</v>
      </c>
      <c r="W151" s="1"/>
      <c r="X151" s="1"/>
      <c r="Y151" s="1"/>
      <c r="Z151" s="1">
        <v>42</v>
      </c>
      <c r="AA151" s="1">
        <v>40</v>
      </c>
      <c r="AB151" s="1">
        <v>16</v>
      </c>
      <c r="AC151" s="1"/>
      <c r="AD151" s="1"/>
      <c r="AE151" s="1"/>
      <c r="AF151" s="1">
        <v>36</v>
      </c>
      <c r="AG151" s="1">
        <v>34</v>
      </c>
      <c r="AH151" s="1">
        <v>15</v>
      </c>
      <c r="AI151" s="5">
        <f t="shared" si="6"/>
        <v>28.333333333333332</v>
      </c>
      <c r="AJ151" s="5">
        <f t="shared" si="7"/>
        <v>61.666666666666671</v>
      </c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6">
        <v>39.200000000000003</v>
      </c>
      <c r="BA151" s="6">
        <v>6.69</v>
      </c>
      <c r="BB151" s="4">
        <v>5.1999999999999998E-3</v>
      </c>
    </row>
    <row r="152" spans="1:54" x14ac:dyDescent="0.25">
      <c r="A152" s="1" t="s">
        <v>151</v>
      </c>
      <c r="B152" s="1" t="s">
        <v>205</v>
      </c>
      <c r="C152" s="1">
        <v>29</v>
      </c>
      <c r="D152" s="1">
        <v>800</v>
      </c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>
        <v>65</v>
      </c>
      <c r="R152" s="1">
        <v>58</v>
      </c>
      <c r="S152" s="1">
        <v>55</v>
      </c>
      <c r="T152" s="1"/>
      <c r="U152" s="1"/>
      <c r="V152" s="1"/>
      <c r="W152" s="1"/>
      <c r="X152" s="1"/>
      <c r="Y152" s="1"/>
      <c r="Z152" s="1">
        <v>72</v>
      </c>
      <c r="AA152" s="1">
        <v>71</v>
      </c>
      <c r="AB152" s="1">
        <v>69</v>
      </c>
      <c r="AC152" s="1"/>
      <c r="AD152" s="1"/>
      <c r="AE152" s="1"/>
      <c r="AF152" s="1"/>
      <c r="AG152" s="1"/>
      <c r="AH152" s="1"/>
      <c r="AI152" s="5">
        <v>70.666666666666671</v>
      </c>
      <c r="AJ152" s="5">
        <v>19.333333333333329</v>
      </c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>
        <v>16.5</v>
      </c>
      <c r="BA152" s="5">
        <v>4.1399999999999997</v>
      </c>
      <c r="BB152" s="1"/>
    </row>
    <row r="153" spans="1:54" x14ac:dyDescent="0.25">
      <c r="A153" s="1" t="s">
        <v>152</v>
      </c>
      <c r="B153" s="1" t="s">
        <v>205</v>
      </c>
      <c r="C153" s="1">
        <v>29</v>
      </c>
      <c r="D153" s="1">
        <v>800</v>
      </c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>
        <v>59</v>
      </c>
      <c r="R153" s="1">
        <v>47</v>
      </c>
      <c r="S153" s="1">
        <v>36</v>
      </c>
      <c r="T153" s="1"/>
      <c r="U153" s="1"/>
      <c r="V153" s="1"/>
      <c r="W153" s="1"/>
      <c r="X153" s="1"/>
      <c r="Y153" s="1"/>
      <c r="Z153" s="1">
        <v>55</v>
      </c>
      <c r="AA153" s="1">
        <v>45</v>
      </c>
      <c r="AB153" s="1">
        <v>37</v>
      </c>
      <c r="AC153" s="1"/>
      <c r="AD153" s="1"/>
      <c r="AE153" s="1"/>
      <c r="AF153" s="1"/>
      <c r="AG153" s="1"/>
      <c r="AH153" s="1"/>
      <c r="AI153" s="5">
        <v>45.666666666666664</v>
      </c>
      <c r="AJ153" s="5">
        <v>44.333333333333336</v>
      </c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>
        <v>12.24</v>
      </c>
      <c r="BA153" s="5">
        <v>2.98</v>
      </c>
      <c r="BB153" s="1"/>
    </row>
    <row r="154" spans="1:54" x14ac:dyDescent="0.25">
      <c r="A154" s="1" t="s">
        <v>153</v>
      </c>
      <c r="B154" s="1" t="s">
        <v>205</v>
      </c>
      <c r="C154" s="1">
        <v>29</v>
      </c>
      <c r="D154" s="1">
        <v>800</v>
      </c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>
        <v>61</v>
      </c>
      <c r="R154" s="1">
        <v>45</v>
      </c>
      <c r="S154" s="1">
        <v>35</v>
      </c>
      <c r="T154" s="1"/>
      <c r="U154" s="1"/>
      <c r="V154" s="1"/>
      <c r="W154" s="1"/>
      <c r="X154" s="1"/>
      <c r="Y154" s="1"/>
      <c r="Z154" s="1">
        <v>56</v>
      </c>
      <c r="AA154" s="1">
        <v>45</v>
      </c>
      <c r="AB154" s="1">
        <v>38</v>
      </c>
      <c r="AC154" s="1"/>
      <c r="AD154" s="1"/>
      <c r="AE154" s="1"/>
      <c r="AF154" s="1"/>
      <c r="AG154" s="1"/>
      <c r="AH154" s="1"/>
      <c r="AI154" s="5">
        <v>46.333333333333336</v>
      </c>
      <c r="AJ154" s="5">
        <v>43.666666666666664</v>
      </c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>
        <v>14.17</v>
      </c>
      <c r="BA154" s="5">
        <v>3.69</v>
      </c>
      <c r="BB154" s="1"/>
    </row>
    <row r="155" spans="1:54" x14ac:dyDescent="0.25">
      <c r="A155" s="1" t="s">
        <v>154</v>
      </c>
      <c r="B155" s="1" t="s">
        <v>205</v>
      </c>
      <c r="C155" s="1">
        <v>29</v>
      </c>
      <c r="D155" s="1">
        <v>800</v>
      </c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>
        <v>52</v>
      </c>
      <c r="R155" s="1">
        <v>43</v>
      </c>
      <c r="S155" s="1">
        <v>36</v>
      </c>
      <c r="T155" s="1"/>
      <c r="U155" s="1"/>
      <c r="V155" s="1"/>
      <c r="W155" s="1"/>
      <c r="X155" s="1"/>
      <c r="Y155" s="1"/>
      <c r="Z155" s="1">
        <v>49</v>
      </c>
      <c r="AA155" s="1">
        <v>45</v>
      </c>
      <c r="AB155" s="1">
        <v>36</v>
      </c>
      <c r="AC155" s="1"/>
      <c r="AD155" s="1"/>
      <c r="AE155" s="1"/>
      <c r="AF155" s="1"/>
      <c r="AG155" s="1"/>
      <c r="AH155" s="1"/>
      <c r="AI155" s="5">
        <v>43.333333333333336</v>
      </c>
      <c r="AJ155" s="5">
        <v>46.666666666666664</v>
      </c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>
        <v>10.210000000000001</v>
      </c>
      <c r="BA155" s="5">
        <v>2.2599999999999998</v>
      </c>
      <c r="BB155" s="1"/>
    </row>
    <row r="156" spans="1:54" x14ac:dyDescent="0.25">
      <c r="A156" s="1" t="s">
        <v>155</v>
      </c>
      <c r="B156" s="1" t="s">
        <v>205</v>
      </c>
      <c r="C156" s="1">
        <v>29</v>
      </c>
      <c r="D156" s="1">
        <v>800</v>
      </c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>
        <v>60</v>
      </c>
      <c r="R156" s="1">
        <v>49</v>
      </c>
      <c r="S156" s="1">
        <v>39</v>
      </c>
      <c r="T156" s="1"/>
      <c r="U156" s="1"/>
      <c r="V156" s="1"/>
      <c r="W156" s="1"/>
      <c r="X156" s="1"/>
      <c r="Y156" s="1"/>
      <c r="Z156" s="1">
        <v>67</v>
      </c>
      <c r="AA156" s="1">
        <v>49</v>
      </c>
      <c r="AB156" s="1">
        <v>39</v>
      </c>
      <c r="AC156" s="1"/>
      <c r="AD156" s="1"/>
      <c r="AE156" s="1"/>
      <c r="AF156" s="1"/>
      <c r="AG156" s="1"/>
      <c r="AH156" s="1"/>
      <c r="AI156" s="5">
        <v>51.666666666666664</v>
      </c>
      <c r="AJ156" s="5">
        <v>38.333333333333336</v>
      </c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>
        <v>15.21</v>
      </c>
      <c r="BA156" s="5">
        <v>3.08</v>
      </c>
      <c r="BB156" s="1"/>
    </row>
    <row r="157" spans="1:54" x14ac:dyDescent="0.25">
      <c r="A157" s="1" t="s">
        <v>156</v>
      </c>
      <c r="B157" s="1" t="s">
        <v>205</v>
      </c>
      <c r="C157" s="1">
        <v>36</v>
      </c>
      <c r="D157" s="1">
        <v>400</v>
      </c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>
        <v>52</v>
      </c>
      <c r="R157" s="1">
        <v>39</v>
      </c>
      <c r="S157" s="1">
        <v>29</v>
      </c>
      <c r="T157" s="1"/>
      <c r="U157" s="1"/>
      <c r="V157" s="1"/>
      <c r="W157" s="1"/>
      <c r="X157" s="1"/>
      <c r="Y157" s="1"/>
      <c r="Z157" s="1">
        <v>49</v>
      </c>
      <c r="AA157" s="1">
        <v>37</v>
      </c>
      <c r="AB157" s="1">
        <v>26</v>
      </c>
      <c r="AC157" s="1"/>
      <c r="AD157" s="1"/>
      <c r="AE157" s="1"/>
      <c r="AF157" s="1"/>
      <c r="AG157" s="1"/>
      <c r="AH157" s="1"/>
      <c r="AI157" s="5">
        <v>37.333333333333336</v>
      </c>
      <c r="AJ157" s="5">
        <v>52.666666666666664</v>
      </c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>
        <v>13.07</v>
      </c>
      <c r="BA157" s="5">
        <v>2.78</v>
      </c>
      <c r="BB157" s="1"/>
    </row>
    <row r="158" spans="1:54" x14ac:dyDescent="0.25">
      <c r="A158" s="1" t="s">
        <v>157</v>
      </c>
      <c r="B158" s="1" t="s">
        <v>205</v>
      </c>
      <c r="C158" s="1">
        <v>36</v>
      </c>
      <c r="D158" s="1">
        <v>400</v>
      </c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>
        <v>63</v>
      </c>
      <c r="R158" s="1">
        <v>60</v>
      </c>
      <c r="S158" s="1">
        <v>62</v>
      </c>
      <c r="T158" s="1"/>
      <c r="U158" s="1"/>
      <c r="V158" s="1"/>
      <c r="W158" s="1"/>
      <c r="X158" s="1"/>
      <c r="Y158" s="1"/>
      <c r="Z158" s="1">
        <v>65</v>
      </c>
      <c r="AA158" s="1">
        <v>63</v>
      </c>
      <c r="AB158" s="1">
        <v>59</v>
      </c>
      <c r="AC158" s="1"/>
      <c r="AD158" s="1"/>
      <c r="AE158" s="1"/>
      <c r="AF158" s="1"/>
      <c r="AG158" s="1"/>
      <c r="AH158" s="1"/>
      <c r="AI158" s="5">
        <v>62.333333333333336</v>
      </c>
      <c r="AJ158" s="5">
        <v>27.666666666666664</v>
      </c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>
        <v>12</v>
      </c>
      <c r="BA158" s="5">
        <v>2.84</v>
      </c>
      <c r="BB158" s="1"/>
    </row>
    <row r="159" spans="1:54" x14ac:dyDescent="0.25">
      <c r="A159" s="1" t="s">
        <v>158</v>
      </c>
      <c r="B159" s="1" t="s">
        <v>205</v>
      </c>
      <c r="C159" s="1">
        <v>36</v>
      </c>
      <c r="D159" s="1">
        <v>400</v>
      </c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>
        <v>62</v>
      </c>
      <c r="R159" s="1">
        <v>56</v>
      </c>
      <c r="S159" s="1">
        <v>35</v>
      </c>
      <c r="T159" s="1"/>
      <c r="U159" s="1"/>
      <c r="V159" s="1"/>
      <c r="W159" s="1"/>
      <c r="X159" s="1"/>
      <c r="Y159" s="1"/>
      <c r="Z159" s="1">
        <v>68</v>
      </c>
      <c r="AA159" s="1">
        <v>57</v>
      </c>
      <c r="AB159" s="1">
        <v>25</v>
      </c>
      <c r="AC159" s="1"/>
      <c r="AD159" s="1"/>
      <c r="AE159" s="1"/>
      <c r="AF159" s="1"/>
      <c r="AG159" s="1"/>
      <c r="AH159" s="1"/>
      <c r="AI159" s="5">
        <v>50</v>
      </c>
      <c r="AJ159" s="5">
        <v>40</v>
      </c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>
        <v>11.95</v>
      </c>
      <c r="BA159" s="5">
        <v>2.72</v>
      </c>
      <c r="BB159" s="1"/>
    </row>
    <row r="160" spans="1:54" x14ac:dyDescent="0.25">
      <c r="A160" s="1" t="s">
        <v>159</v>
      </c>
      <c r="B160" s="1" t="s">
        <v>205</v>
      </c>
      <c r="C160" s="1">
        <v>36</v>
      </c>
      <c r="D160" s="1">
        <v>400</v>
      </c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>
        <v>63</v>
      </c>
      <c r="R160" s="1">
        <v>58</v>
      </c>
      <c r="S160" s="1">
        <v>42</v>
      </c>
      <c r="T160" s="1"/>
      <c r="U160" s="1"/>
      <c r="V160" s="1"/>
      <c r="W160" s="1"/>
      <c r="X160" s="1"/>
      <c r="Y160" s="1"/>
      <c r="Z160" s="1">
        <v>60</v>
      </c>
      <c r="AA160" s="1">
        <v>57</v>
      </c>
      <c r="AB160" s="1">
        <v>32</v>
      </c>
      <c r="AC160" s="1"/>
      <c r="AD160" s="1"/>
      <c r="AE160" s="1"/>
      <c r="AF160" s="1"/>
      <c r="AG160" s="1"/>
      <c r="AH160" s="1"/>
      <c r="AI160" s="5">
        <v>49.666666666666664</v>
      </c>
      <c r="AJ160" s="5">
        <v>40.333333333333336</v>
      </c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>
        <v>8.16</v>
      </c>
      <c r="BA160" s="5">
        <v>2.31</v>
      </c>
      <c r="BB160" s="1"/>
    </row>
    <row r="161" spans="1:54" x14ac:dyDescent="0.25">
      <c r="A161" s="1" t="s">
        <v>160</v>
      </c>
      <c r="B161" s="1" t="s">
        <v>205</v>
      </c>
      <c r="C161" s="1">
        <v>36</v>
      </c>
      <c r="D161" s="1">
        <v>400</v>
      </c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>
        <v>65</v>
      </c>
      <c r="R161" s="1">
        <v>49</v>
      </c>
      <c r="S161" s="1">
        <v>36</v>
      </c>
      <c r="T161" s="1"/>
      <c r="U161" s="1"/>
      <c r="V161" s="1"/>
      <c r="W161" s="1"/>
      <c r="X161" s="1"/>
      <c r="Y161" s="1"/>
      <c r="Z161" s="1">
        <v>66</v>
      </c>
      <c r="AA161" s="1">
        <v>39</v>
      </c>
      <c r="AB161" s="1">
        <v>31</v>
      </c>
      <c r="AC161" s="1"/>
      <c r="AD161" s="1"/>
      <c r="AE161" s="1"/>
      <c r="AF161" s="1"/>
      <c r="AG161" s="1"/>
      <c r="AH161" s="1"/>
      <c r="AI161" s="5">
        <v>45.333333333333336</v>
      </c>
      <c r="AJ161" s="5">
        <v>44.666666666666664</v>
      </c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>
        <v>4.26</v>
      </c>
      <c r="BA161" s="5">
        <v>1.06</v>
      </c>
      <c r="BB161" s="1"/>
    </row>
    <row r="162" spans="1:54" x14ac:dyDescent="0.25">
      <c r="A162" s="1" t="s">
        <v>161</v>
      </c>
      <c r="B162" s="1" t="s">
        <v>205</v>
      </c>
      <c r="C162" s="1">
        <v>29</v>
      </c>
      <c r="D162" s="1">
        <v>400</v>
      </c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>
        <v>72</v>
      </c>
      <c r="R162" s="1">
        <v>48</v>
      </c>
      <c r="S162" s="1">
        <v>40</v>
      </c>
      <c r="T162" s="1"/>
      <c r="U162" s="1"/>
      <c r="V162" s="1"/>
      <c r="W162" s="1"/>
      <c r="X162" s="1"/>
      <c r="Y162" s="1"/>
      <c r="Z162" s="1">
        <v>63</v>
      </c>
      <c r="AA162" s="1">
        <v>44</v>
      </c>
      <c r="AB162" s="1">
        <v>37</v>
      </c>
      <c r="AC162" s="1"/>
      <c r="AD162" s="1"/>
      <c r="AE162" s="1"/>
      <c r="AF162" s="1"/>
      <c r="AG162" s="1"/>
      <c r="AH162" s="1"/>
      <c r="AI162" s="5">
        <v>48</v>
      </c>
      <c r="AJ162" s="5">
        <v>42</v>
      </c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>
        <v>8.35</v>
      </c>
      <c r="BA162" s="5">
        <v>1.87</v>
      </c>
      <c r="BB162" s="1"/>
    </row>
    <row r="163" spans="1:54" x14ac:dyDescent="0.25">
      <c r="A163" s="1" t="s">
        <v>162</v>
      </c>
      <c r="B163" s="1" t="s">
        <v>205</v>
      </c>
      <c r="C163" s="1">
        <v>29</v>
      </c>
      <c r="D163" s="1">
        <v>400</v>
      </c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>
        <v>65</v>
      </c>
      <c r="R163" s="1">
        <v>45</v>
      </c>
      <c r="S163" s="1">
        <v>36</v>
      </c>
      <c r="T163" s="1"/>
      <c r="U163" s="1"/>
      <c r="V163" s="1"/>
      <c r="W163" s="1"/>
      <c r="X163" s="1"/>
      <c r="Y163" s="1"/>
      <c r="Z163" s="1">
        <v>64</v>
      </c>
      <c r="AA163" s="1">
        <v>42</v>
      </c>
      <c r="AB163" s="1">
        <v>37</v>
      </c>
      <c r="AC163" s="1"/>
      <c r="AD163" s="1"/>
      <c r="AE163" s="1"/>
      <c r="AF163" s="1"/>
      <c r="AG163" s="1"/>
      <c r="AH163" s="1"/>
      <c r="AI163" s="5">
        <v>47.666666666666664</v>
      </c>
      <c r="AJ163" s="5">
        <v>42.333333333333336</v>
      </c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>
        <v>10.210000000000001</v>
      </c>
      <c r="BA163" s="5">
        <v>2.36</v>
      </c>
      <c r="BB163" s="1"/>
    </row>
    <row r="164" spans="1:54" x14ac:dyDescent="0.25">
      <c r="A164" s="1" t="s">
        <v>163</v>
      </c>
      <c r="B164" s="1" t="s">
        <v>205</v>
      </c>
      <c r="C164" s="1">
        <v>29</v>
      </c>
      <c r="D164" s="1">
        <v>400</v>
      </c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>
        <v>48</v>
      </c>
      <c r="R164" s="1">
        <v>40</v>
      </c>
      <c r="S164" s="1">
        <v>38</v>
      </c>
      <c r="T164" s="1"/>
      <c r="U164" s="1"/>
      <c r="V164" s="1"/>
      <c r="W164" s="1"/>
      <c r="X164" s="1"/>
      <c r="Y164" s="1"/>
      <c r="Z164" s="1">
        <v>42</v>
      </c>
      <c r="AA164" s="1">
        <v>46</v>
      </c>
      <c r="AB164" s="1">
        <v>29</v>
      </c>
      <c r="AC164" s="1"/>
      <c r="AD164" s="1"/>
      <c r="AE164" s="1"/>
      <c r="AF164" s="1"/>
      <c r="AG164" s="1"/>
      <c r="AH164" s="1"/>
      <c r="AI164" s="5">
        <v>39</v>
      </c>
      <c r="AJ164" s="5">
        <v>51</v>
      </c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>
        <v>6.19</v>
      </c>
      <c r="BA164" s="5">
        <v>1.58</v>
      </c>
      <c r="BB164" s="1"/>
    </row>
    <row r="165" spans="1:54" x14ac:dyDescent="0.25">
      <c r="A165" s="1" t="s">
        <v>164</v>
      </c>
      <c r="B165" s="1" t="s">
        <v>205</v>
      </c>
      <c r="C165" s="1">
        <v>29</v>
      </c>
      <c r="D165" s="1">
        <v>400</v>
      </c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>
        <v>42</v>
      </c>
      <c r="R165" s="1">
        <v>34</v>
      </c>
      <c r="S165" s="1">
        <v>33</v>
      </c>
      <c r="T165" s="1"/>
      <c r="U165" s="1"/>
      <c r="V165" s="1"/>
      <c r="W165" s="1"/>
      <c r="X165" s="1"/>
      <c r="Y165" s="1"/>
      <c r="Z165" s="1">
        <v>42</v>
      </c>
      <c r="AA165" s="1">
        <v>31</v>
      </c>
      <c r="AB165" s="1">
        <v>29</v>
      </c>
      <c r="AC165" s="1"/>
      <c r="AD165" s="1"/>
      <c r="AE165" s="1"/>
      <c r="AF165" s="1"/>
      <c r="AG165" s="1"/>
      <c r="AH165" s="1"/>
      <c r="AI165" s="5">
        <v>34</v>
      </c>
      <c r="AJ165" s="5">
        <v>56</v>
      </c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>
        <v>7.12</v>
      </c>
      <c r="BA165" s="5">
        <v>1.78</v>
      </c>
      <c r="BB165" s="1"/>
    </row>
    <row r="166" spans="1:54" x14ac:dyDescent="0.25">
      <c r="A166" s="1" t="s">
        <v>165</v>
      </c>
      <c r="B166" s="1" t="s">
        <v>205</v>
      </c>
      <c r="C166" s="1">
        <v>29</v>
      </c>
      <c r="D166" s="1">
        <v>400</v>
      </c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>
        <v>80</v>
      </c>
      <c r="R166" s="1">
        <v>48</v>
      </c>
      <c r="S166" s="1">
        <v>25</v>
      </c>
      <c r="T166" s="1"/>
      <c r="U166" s="1"/>
      <c r="V166" s="1"/>
      <c r="W166" s="1"/>
      <c r="X166" s="1"/>
      <c r="Y166" s="1"/>
      <c r="Z166" s="1">
        <v>79</v>
      </c>
      <c r="AA166" s="1">
        <v>47</v>
      </c>
      <c r="AB166" s="1">
        <v>30</v>
      </c>
      <c r="AC166" s="1"/>
      <c r="AD166" s="1"/>
      <c r="AE166" s="1"/>
      <c r="AF166" s="1"/>
      <c r="AG166" s="1"/>
      <c r="AH166" s="1"/>
      <c r="AI166" s="5">
        <v>52</v>
      </c>
      <c r="AJ166" s="5">
        <v>38</v>
      </c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>
        <v>7.11</v>
      </c>
      <c r="BA166" s="5">
        <v>1.77</v>
      </c>
      <c r="BB166" s="1"/>
    </row>
    <row r="167" spans="1:54" x14ac:dyDescent="0.25">
      <c r="A167" s="1" t="s">
        <v>166</v>
      </c>
      <c r="B167" s="1" t="s">
        <v>205</v>
      </c>
      <c r="C167" s="1">
        <v>36</v>
      </c>
      <c r="D167" s="1">
        <v>800</v>
      </c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>
        <v>78</v>
      </c>
      <c r="R167" s="1">
        <v>61</v>
      </c>
      <c r="S167" s="1">
        <v>53</v>
      </c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1"/>
    </row>
    <row r="168" spans="1:54" x14ac:dyDescent="0.25">
      <c r="A168" s="1" t="s">
        <v>167</v>
      </c>
      <c r="B168" s="1" t="s">
        <v>205</v>
      </c>
      <c r="C168" s="1">
        <v>36</v>
      </c>
      <c r="D168" s="1">
        <v>800</v>
      </c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>
        <v>73</v>
      </c>
      <c r="R168" s="1">
        <v>59</v>
      </c>
      <c r="S168" s="1">
        <v>30</v>
      </c>
      <c r="T168" s="1"/>
      <c r="U168" s="1"/>
      <c r="V168" s="1"/>
      <c r="W168" s="1"/>
      <c r="X168" s="1"/>
      <c r="Y168" s="1"/>
      <c r="Z168" s="1">
        <v>68</v>
      </c>
      <c r="AA168" s="1">
        <v>56</v>
      </c>
      <c r="AB168" s="1">
        <v>31</v>
      </c>
      <c r="AC168" s="1"/>
      <c r="AD168" s="1"/>
      <c r="AE168" s="1"/>
      <c r="AF168" s="1"/>
      <c r="AG168" s="1"/>
      <c r="AH168" s="1"/>
      <c r="AI168" s="5">
        <v>51.666666666666664</v>
      </c>
      <c r="AJ168" s="5">
        <v>38.333333333333336</v>
      </c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>
        <v>11.52</v>
      </c>
      <c r="BA168" s="5">
        <v>3.58</v>
      </c>
      <c r="BB168" s="1"/>
    </row>
    <row r="169" spans="1:54" x14ac:dyDescent="0.25">
      <c r="A169" s="1" t="s">
        <v>168</v>
      </c>
      <c r="B169" s="1" t="s">
        <v>205</v>
      </c>
      <c r="C169" s="1">
        <v>36</v>
      </c>
      <c r="D169" s="1">
        <v>800</v>
      </c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>
        <v>65</v>
      </c>
      <c r="R169" s="1">
        <v>57</v>
      </c>
      <c r="S169" s="1">
        <v>35</v>
      </c>
      <c r="T169" s="1"/>
      <c r="U169" s="1"/>
      <c r="V169" s="1"/>
      <c r="W169" s="1"/>
      <c r="X169" s="1"/>
      <c r="Y169" s="1"/>
      <c r="Z169" s="1">
        <v>74</v>
      </c>
      <c r="AA169" s="1">
        <v>56</v>
      </c>
      <c r="AB169" s="1">
        <v>36</v>
      </c>
      <c r="AC169" s="1"/>
      <c r="AD169" s="1"/>
      <c r="AE169" s="1"/>
      <c r="AF169" s="1"/>
      <c r="AG169" s="1"/>
      <c r="AH169" s="1"/>
      <c r="AI169" s="5">
        <v>55.333333333333336</v>
      </c>
      <c r="AJ169" s="5">
        <v>34.666666666666664</v>
      </c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>
        <v>9.52</v>
      </c>
      <c r="BA169" s="5">
        <v>2.72</v>
      </c>
      <c r="BB169" s="1"/>
    </row>
    <row r="170" spans="1:54" x14ac:dyDescent="0.25">
      <c r="A170" s="1" t="s">
        <v>169</v>
      </c>
      <c r="B170" s="1" t="s">
        <v>205</v>
      </c>
      <c r="C170" s="1">
        <v>36</v>
      </c>
      <c r="D170" s="1">
        <v>800</v>
      </c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>
        <v>69</v>
      </c>
      <c r="R170" s="1">
        <v>49</v>
      </c>
      <c r="S170" s="1">
        <v>30</v>
      </c>
      <c r="T170" s="1"/>
      <c r="U170" s="1"/>
      <c r="V170" s="1"/>
      <c r="W170" s="1"/>
      <c r="X170" s="1"/>
      <c r="Y170" s="1"/>
      <c r="Z170" s="1">
        <v>82</v>
      </c>
      <c r="AA170" s="1">
        <v>60</v>
      </c>
      <c r="AB170" s="1">
        <v>35</v>
      </c>
      <c r="AC170" s="1"/>
      <c r="AD170" s="1"/>
      <c r="AE170" s="1"/>
      <c r="AF170" s="1"/>
      <c r="AG170" s="1"/>
      <c r="AH170" s="1"/>
      <c r="AI170" s="5">
        <v>59</v>
      </c>
      <c r="AJ170" s="5">
        <v>31</v>
      </c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>
        <v>10.84</v>
      </c>
      <c r="BA170" s="5">
        <v>2.67</v>
      </c>
      <c r="BB170" s="1"/>
    </row>
    <row r="171" spans="1:54" x14ac:dyDescent="0.25">
      <c r="A171" s="1" t="s">
        <v>170</v>
      </c>
      <c r="B171" s="1" t="s">
        <v>205</v>
      </c>
      <c r="C171" s="1">
        <v>36</v>
      </c>
      <c r="D171" s="1">
        <v>800</v>
      </c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>
        <v>60</v>
      </c>
      <c r="R171" s="1">
        <v>45</v>
      </c>
      <c r="S171" s="1">
        <v>32</v>
      </c>
      <c r="T171" s="1"/>
      <c r="U171" s="1"/>
      <c r="V171" s="1"/>
      <c r="W171" s="1"/>
      <c r="X171" s="1"/>
      <c r="Y171" s="1"/>
      <c r="Z171" s="1">
        <v>56</v>
      </c>
      <c r="AA171" s="1">
        <v>42</v>
      </c>
      <c r="AB171" s="1">
        <v>30</v>
      </c>
      <c r="AC171" s="1"/>
      <c r="AD171" s="1"/>
      <c r="AE171" s="1"/>
      <c r="AF171" s="1"/>
      <c r="AG171" s="1"/>
      <c r="AH171" s="1"/>
      <c r="AI171" s="5">
        <v>42.666666666666664</v>
      </c>
      <c r="AJ171" s="5">
        <v>47.333333333333336</v>
      </c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>
        <v>2.82</v>
      </c>
      <c r="BA171" s="5">
        <v>0.7</v>
      </c>
      <c r="BB171" s="1"/>
    </row>
    <row r="180" spans="55:56" x14ac:dyDescent="0.25">
      <c r="BC180" s="7"/>
      <c r="BD180" s="7"/>
    </row>
    <row r="181" spans="55:56" x14ac:dyDescent="0.25">
      <c r="BC181" s="7"/>
      <c r="BD181" s="7"/>
    </row>
    <row r="182" spans="55:56" x14ac:dyDescent="0.25">
      <c r="BC182" s="7"/>
      <c r="BD182" s="7"/>
    </row>
    <row r="183" spans="55:56" x14ac:dyDescent="0.25">
      <c r="BC183" s="7"/>
      <c r="BD183" s="7"/>
    </row>
    <row r="184" spans="55:56" x14ac:dyDescent="0.25">
      <c r="BC184" s="7"/>
      <c r="BD184" s="7"/>
    </row>
    <row r="185" spans="55:56" x14ac:dyDescent="0.25">
      <c r="BC185" s="7"/>
      <c r="BD185" s="7"/>
    </row>
    <row r="186" spans="55:56" x14ac:dyDescent="0.25">
      <c r="BC186" s="7"/>
      <c r="BD186" s="7"/>
    </row>
    <row r="187" spans="55:56" x14ac:dyDescent="0.25">
      <c r="BC187" s="7"/>
      <c r="BD187" s="7"/>
    </row>
    <row r="188" spans="55:56" x14ac:dyDescent="0.25">
      <c r="BC188" s="7"/>
      <c r="BD188" s="7"/>
    </row>
    <row r="189" spans="55:56" x14ac:dyDescent="0.25">
      <c r="BC189" s="7"/>
      <c r="BD189" s="7"/>
    </row>
    <row r="190" spans="55:56" x14ac:dyDescent="0.25">
      <c r="BC190" s="7"/>
      <c r="BD190" s="7"/>
    </row>
    <row r="191" spans="55:56" x14ac:dyDescent="0.25">
      <c r="BC191" s="7"/>
      <c r="BD191" s="7"/>
    </row>
    <row r="192" spans="55:56" x14ac:dyDescent="0.25">
      <c r="BC192" s="7"/>
      <c r="BD192" s="7"/>
    </row>
    <row r="193" spans="55:56" x14ac:dyDescent="0.25">
      <c r="BC193" s="7"/>
      <c r="BD193" s="7"/>
    </row>
    <row r="194" spans="55:56" x14ac:dyDescent="0.25">
      <c r="BC194" s="7"/>
      <c r="BD194" s="7"/>
    </row>
    <row r="195" spans="55:56" x14ac:dyDescent="0.25">
      <c r="BC195" s="7"/>
      <c r="BD195" s="7"/>
    </row>
    <row r="196" spans="55:56" x14ac:dyDescent="0.25">
      <c r="BC196" s="7"/>
      <c r="BD196" s="7"/>
    </row>
    <row r="197" spans="55:56" x14ac:dyDescent="0.25">
      <c r="BC197" s="7"/>
      <c r="BD197" s="7"/>
    </row>
    <row r="198" spans="55:56" x14ac:dyDescent="0.25">
      <c r="BC198" s="7"/>
      <c r="BD198" s="7"/>
    </row>
    <row r="199" spans="55:56" x14ac:dyDescent="0.25">
      <c r="BC199" s="7"/>
      <c r="BD199" s="7"/>
    </row>
    <row r="200" spans="55:56" x14ac:dyDescent="0.25">
      <c r="BC200" s="7"/>
      <c r="BD200" s="7"/>
    </row>
    <row r="201" spans="55:56" x14ac:dyDescent="0.25">
      <c r="BC201" s="7"/>
      <c r="BD201" s="7"/>
    </row>
    <row r="202" spans="55:56" x14ac:dyDescent="0.25">
      <c r="BC202" s="7"/>
      <c r="BD202" s="7"/>
    </row>
    <row r="203" spans="55:56" x14ac:dyDescent="0.25">
      <c r="BC203" s="7"/>
      <c r="BD203" s="7"/>
    </row>
    <row r="204" spans="55:56" x14ac:dyDescent="0.25">
      <c r="BC204" s="3"/>
      <c r="BD204" s="3"/>
    </row>
    <row r="205" spans="55:56" x14ac:dyDescent="0.25">
      <c r="BC205" s="3"/>
      <c r="BD20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Thomas, Michael D</dc:creator>
  <cp:lastModifiedBy>Thomas, Michael D</cp:lastModifiedBy>
  <dcterms:created xsi:type="dcterms:W3CDTF">2022-07-21T16:45:27Z</dcterms:created>
  <dcterms:modified xsi:type="dcterms:W3CDTF">2022-07-21T18:25:26Z</dcterms:modified>
</cp:coreProperties>
</file>